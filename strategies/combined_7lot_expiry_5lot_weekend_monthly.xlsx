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<sst xmlns="http://schemas.openxmlformats.org/spreadsheetml/2006/main" count="54" uniqueCount="54">
  <si>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Month</t>
  </si>
  <si>
    <t xml:space="preserve">Nifty Tue (7 lots) ₹</t>
  </si>
  <si>
    <t xml:space="preserve">Sensex Thu (7 lots) ₹</t>
  </si>
  <si>
    <t xml:space="preserve">Weekend Fri→Mon (5 lots) ₹</t>
  </si>
  <si>
    <t xml:space="preserve">Total ₹</t>
  </si>
  <si>
    <t xml:space="preserve">% of capital</t>
  </si>
  <si>
    <t xml:space="preserve">Cumulative ₹</t>
  </si>
  <si>
    <t xml:space="preserve">Capital ₹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</si>
  <si>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</si>
  <si>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</si>
  <si>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</si>
  <si>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</si>
  <si>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</si>
  <si>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</si>
  <si>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</si>
  <si>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</si>
  <si>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</si>
  <si>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</si>
  <si>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</si>
  <si>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</si>
  <si>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</si>
  <si>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</si>
  <si>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</si>
  <si>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</si>
  <si>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</si>
  <si>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</si>
  <si>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</si>
  <si>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</si>
  <si>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</si>
  <si>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</si>
  <si>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</si>
  <si>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</si>
  <si>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</si>
  <si>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</si>
  <si>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</si>
  <si>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</si>
  <si>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</si>
  <si>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</si>
  <si>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</si>
  <si>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</si>
  <si>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</si>
  <si>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</si>
  <si>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</si>
  <si>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</si>
  <si>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</si>
  <si>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</si>
  <si>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</si>
  <si>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</si>
  <si>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</si>
  <si>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</si>
  <si>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Total</t>
  </si>
  <si>
    <t xml:space="preserve">Nifty/Sensex: 7 hedged lots per expiry day with loss limits (day stop -20k, re-entry only if day green, DD&gt;30k -&gt; 3 lots). Rebuilt option prices.</t>
  </si>
  <si>
    <t xml:space="preserve">Weekend: 5 lots Nifty futures + 1% OTM protective option, only when Friday's direction agrees with Nifty vs 50 EMA; Fri close -&gt; Mon open; real NSE option prices.</t>
  </si>
  <si>
    <t xml:space="preserve">After costs, before tax. Same Rs 7.5 L margin reused (Fri-Mon weekend vs Tue/Thu expiry). May 2023 = from 15 May; Oct 2026 = to ~23 Oct.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</si>
</sst>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[RED]\-#,##0;\-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7" min="2" style="0" width="15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3" t="n">
        <v>750000</v>
      </c>
    </row>
    <row r="2" customFormat="false" ht="15" hidden="false" customHeight="false" outlineLevel="0" collapsed="false">
      <c r="A2" s="4" t="s">
        <v>8</v>
      </c>
      <c r="B2" s="5" t="n">
        <v>-13291</v>
      </c>
      <c r="C2" s="5" t="n">
        <v>1640</v>
      </c>
      <c r="D2" s="5" t="n">
        <v>31158</v>
      </c>
      <c r="E2" s="5" t="n">
        <f aca="false">B2+C2+D2</f>
        <v>19507</v>
      </c>
      <c r="F2" s="6" t="n">
        <f aca="false">E2/$J$1</f>
        <v>0.0260093333333333</v>
      </c>
      <c r="G2" s="5" t="n">
        <f aca="false">E2</f>
        <v>19507</v>
      </c>
    </row>
    <row r="3" customFormat="false" ht="15" hidden="false" customHeight="false" outlineLevel="0" collapsed="false">
      <c r="A3" s="4" t="s">
        <v>9</v>
      </c>
      <c r="B3" s="5" t="n">
        <v>2445</v>
      </c>
      <c r="C3" s="5" t="n">
        <v>4592</v>
      </c>
      <c r="D3" s="5" t="n">
        <v>36438</v>
      </c>
      <c r="E3" s="5" t="n">
        <f aca="false">B3+C3+D3</f>
        <v>43475</v>
      </c>
      <c r="F3" s="6" t="n">
        <f aca="false">E3/$J$1</f>
        <v>0.0579666666666667</v>
      </c>
      <c r="G3" s="5" t="n">
        <f aca="false">G2+E3</f>
        <v>62982</v>
      </c>
    </row>
    <row r="4" customFormat="false" ht="15" hidden="false" customHeight="false" outlineLevel="0" collapsed="false">
      <c r="A4" s="4" t="s">
        <v>10</v>
      </c>
      <c r="B4" s="5" t="n">
        <v>9914</v>
      </c>
      <c r="C4" s="5" t="n">
        <v>14920</v>
      </c>
      <c r="D4" s="5" t="n">
        <v>-4655</v>
      </c>
      <c r="E4" s="5" t="n">
        <f aca="false">B4+C4+D4</f>
        <v>20179</v>
      </c>
      <c r="F4" s="6" t="n">
        <f aca="false">E4/$J$1</f>
        <v>0.0269053333333333</v>
      </c>
      <c r="G4" s="5" t="n">
        <f aca="false">G3+E4</f>
        <v>83161</v>
      </c>
    </row>
    <row r="5" customFormat="false" ht="15" hidden="false" customHeight="false" outlineLevel="0" collapsed="false">
      <c r="A5" s="4" t="s">
        <v>11</v>
      </c>
      <c r="B5" s="5" t="n">
        <v>24582</v>
      </c>
      <c r="C5" s="5" t="n">
        <v>16704</v>
      </c>
      <c r="D5" s="5" t="n">
        <v>-3425</v>
      </c>
      <c r="E5" s="5" t="n">
        <f aca="false">B5+C5+D5</f>
        <v>37861</v>
      </c>
      <c r="F5" s="6" t="n">
        <f aca="false">E5/$J$1</f>
        <v>0.0504813333333333</v>
      </c>
      <c r="G5" s="5" t="n">
        <f aca="false">G4+E5</f>
        <v>121022</v>
      </c>
    </row>
    <row r="6" customFormat="false" ht="15" hidden="false" customHeight="false" outlineLevel="0" collapsed="false">
      <c r="A6" s="4" t="s">
        <v>12</v>
      </c>
      <c r="B6" s="5" t="n">
        <v>11483</v>
      </c>
      <c r="C6" s="5" t="n">
        <v>13358</v>
      </c>
      <c r="D6" s="5" t="n">
        <v>-10451</v>
      </c>
      <c r="E6" s="5" t="n">
        <f aca="false">B6+C6+D6</f>
        <v>14390</v>
      </c>
      <c r="F6" s="6" t="n">
        <f aca="false">E6/$J$1</f>
        <v>0.0191866666666667</v>
      </c>
      <c r="G6" s="5" t="n">
        <f aca="false">G5+E6</f>
        <v>135412</v>
      </c>
    </row>
    <row r="7" customFormat="false" ht="15" hidden="false" customHeight="false" outlineLevel="0" collapsed="false">
      <c r="A7" s="4" t="s">
        <v>13</v>
      </c>
      <c r="B7" s="5" t="n">
        <v>653</v>
      </c>
      <c r="C7" s="5" t="n">
        <v>16051</v>
      </c>
      <c r="D7" s="5" t="n">
        <v>-42979</v>
      </c>
      <c r="E7" s="5" t="n">
        <f aca="false">B7+C7+D7</f>
        <v>-26275</v>
      </c>
      <c r="F7" s="6" t="n">
        <f aca="false">E7/$J$1</f>
        <v>-0.0350333333333333</v>
      </c>
      <c r="G7" s="5" t="n">
        <f aca="false">G6+E7</f>
        <v>109137</v>
      </c>
    </row>
    <row r="8" customFormat="false" ht="15" hidden="false" customHeight="false" outlineLevel="0" collapsed="false">
      <c r="A8" s="4" t="s">
        <v>14</v>
      </c>
      <c r="B8" s="5" t="n">
        <v>38065</v>
      </c>
      <c r="C8" s="5" t="n">
        <v>55273</v>
      </c>
      <c r="D8" s="5" t="n">
        <v>-27675</v>
      </c>
      <c r="E8" s="5" t="n">
        <f aca="false">B8+C8+D8</f>
        <v>65663</v>
      </c>
      <c r="F8" s="6" t="n">
        <f aca="false">E8/$J$1</f>
        <v>0.0875506666666667</v>
      </c>
      <c r="G8" s="5" t="n">
        <f aca="false">G7+E8</f>
        <v>174800</v>
      </c>
    </row>
    <row r="9" customFormat="false" ht="15" hidden="false" customHeight="false" outlineLevel="0" collapsed="false">
      <c r="A9" s="4" t="s">
        <v>15</v>
      </c>
      <c r="B9" s="5" t="n">
        <v>-13113</v>
      </c>
      <c r="C9" s="5" t="n">
        <v>49805</v>
      </c>
      <c r="D9" s="5" t="n">
        <v>71064</v>
      </c>
      <c r="E9" s="5" t="n">
        <f aca="false">B9+C9+D9</f>
        <v>107756</v>
      </c>
      <c r="F9" s="6" t="n">
        <f aca="false">E9/$J$1</f>
        <v>0.143674666666667</v>
      </c>
      <c r="G9" s="5" t="n">
        <f aca="false">G8+E9</f>
        <v>282556</v>
      </c>
    </row>
    <row r="10" customFormat="false" ht="15" hidden="false" customHeight="false" outlineLevel="0" collapsed="false">
      <c r="A10" s="4" t="s">
        <v>16</v>
      </c>
      <c r="B10" s="5" t="n">
        <v>16293</v>
      </c>
      <c r="C10" s="5" t="n">
        <v>32501</v>
      </c>
      <c r="D10" s="5" t="n">
        <v>35240</v>
      </c>
      <c r="E10" s="5" t="n">
        <f aca="false">B10+C10+D10</f>
        <v>84034</v>
      </c>
      <c r="F10" s="6" t="n">
        <f aca="false">E10/$J$1</f>
        <v>0.112045333333333</v>
      </c>
      <c r="G10" s="5" t="n">
        <f aca="false">G9+E10</f>
        <v>366590</v>
      </c>
    </row>
    <row r="11" customFormat="false" ht="15" hidden="false" customHeight="false" outlineLevel="0" collapsed="false">
      <c r="A11" s="4" t="s">
        <v>17</v>
      </c>
      <c r="B11" s="5" t="n">
        <v>75858</v>
      </c>
      <c r="C11" s="5" t="n">
        <v>34323</v>
      </c>
      <c r="D11" s="5" t="n">
        <v>777</v>
      </c>
      <c r="E11" s="5" t="n">
        <f aca="false">B11+C11+D11</f>
        <v>110958</v>
      </c>
      <c r="F11" s="6" t="n">
        <f aca="false">E11/$J$1</f>
        <v>0.147944</v>
      </c>
      <c r="G11" s="5" t="n">
        <f aca="false">G10+E11</f>
        <v>477548</v>
      </c>
    </row>
    <row r="12" customFormat="false" ht="15" hidden="false" customHeight="false" outlineLevel="0" collapsed="false">
      <c r="A12" s="4" t="s">
        <v>18</v>
      </c>
      <c r="B12" s="5" t="n">
        <v>-5566</v>
      </c>
      <c r="C12" s="5" t="n">
        <v>40935</v>
      </c>
      <c r="D12" s="5" t="n">
        <v>-7201</v>
      </c>
      <c r="E12" s="5" t="n">
        <f aca="false">B12+C12+D12</f>
        <v>28168</v>
      </c>
      <c r="F12" s="6" t="n">
        <f aca="false">E12/$J$1</f>
        <v>0.0375573333333333</v>
      </c>
      <c r="G12" s="5" t="n">
        <f aca="false">G11+E12</f>
        <v>505716</v>
      </c>
    </row>
    <row r="13" customFormat="false" ht="15" hidden="false" customHeight="false" outlineLevel="0" collapsed="false">
      <c r="A13" s="4" t="s">
        <v>19</v>
      </c>
      <c r="B13" s="5" t="n">
        <v>-25032</v>
      </c>
      <c r="C13" s="5" t="n">
        <v>2348</v>
      </c>
      <c r="D13" s="5" t="n">
        <v>38542</v>
      </c>
      <c r="E13" s="5" t="n">
        <f aca="false">B13+C13+D13</f>
        <v>15858</v>
      </c>
      <c r="F13" s="6" t="n">
        <f aca="false">E13/$J$1</f>
        <v>0.021144</v>
      </c>
      <c r="G13" s="5" t="n">
        <f aca="false">G12+E13</f>
        <v>521574</v>
      </c>
    </row>
    <row r="14" customFormat="false" ht="15" hidden="false" customHeight="false" outlineLevel="0" collapsed="false">
      <c r="A14" s="4" t="s">
        <v>20</v>
      </c>
      <c r="B14" s="5" t="n">
        <v>41395</v>
      </c>
      <c r="C14" s="5" t="n">
        <v>181896</v>
      </c>
      <c r="D14" s="5" t="n">
        <v>18115</v>
      </c>
      <c r="E14" s="5" t="n">
        <f aca="false">B14+C14+D14</f>
        <v>241406</v>
      </c>
      <c r="F14" s="6" t="n">
        <f aca="false">E14/$J$1</f>
        <v>0.321874666666667</v>
      </c>
      <c r="G14" s="5" t="n">
        <f aca="false">G13+E14</f>
        <v>762980</v>
      </c>
    </row>
    <row r="15" customFormat="false" ht="15" hidden="false" customHeight="false" outlineLevel="0" collapsed="false">
      <c r="A15" s="4" t="s">
        <v>21</v>
      </c>
      <c r="B15" s="5" t="n">
        <v>121355</v>
      </c>
      <c r="C15" s="5" t="n">
        <v>56230</v>
      </c>
      <c r="D15" s="5" t="n">
        <v>34834</v>
      </c>
      <c r="E15" s="5" t="n">
        <f aca="false">B15+C15+D15</f>
        <v>212419</v>
      </c>
      <c r="F15" s="6" t="n">
        <f aca="false">E15/$J$1</f>
        <v>0.283225333333333</v>
      </c>
      <c r="G15" s="5" t="n">
        <f aca="false">G14+E15</f>
        <v>975399</v>
      </c>
    </row>
    <row r="16" customFormat="false" ht="15" hidden="false" customHeight="false" outlineLevel="0" collapsed="false">
      <c r="A16" s="4" t="s">
        <v>22</v>
      </c>
      <c r="B16" s="5" t="n">
        <v>18750</v>
      </c>
      <c r="C16" s="5" t="n">
        <v>32316</v>
      </c>
      <c r="D16" s="5" t="n">
        <v>36232</v>
      </c>
      <c r="E16" s="5" t="n">
        <f aca="false">B16+C16+D16</f>
        <v>87298</v>
      </c>
      <c r="F16" s="6" t="n">
        <f aca="false">E16/$J$1</f>
        <v>0.116397333333333</v>
      </c>
      <c r="G16" s="5" t="n">
        <f aca="false">G15+E16</f>
        <v>1062697</v>
      </c>
    </row>
    <row r="17" customFormat="false" ht="15" hidden="false" customHeight="false" outlineLevel="0" collapsed="false">
      <c r="A17" s="4" t="s">
        <v>23</v>
      </c>
      <c r="B17" s="5" t="n">
        <v>66552</v>
      </c>
      <c r="C17" s="5" t="n">
        <v>91019</v>
      </c>
      <c r="D17" s="5" t="n">
        <v>23693</v>
      </c>
      <c r="E17" s="5" t="n">
        <f aca="false">B17+C17+D17</f>
        <v>181264</v>
      </c>
      <c r="F17" s="6" t="n">
        <f aca="false">E17/$J$1</f>
        <v>0.241685333333333</v>
      </c>
      <c r="G17" s="5" t="n">
        <f aca="false">G16+E17</f>
        <v>1243961</v>
      </c>
    </row>
    <row r="18" customFormat="false" ht="15" hidden="false" customHeight="false" outlineLevel="0" collapsed="false">
      <c r="A18" s="4" t="s">
        <v>24</v>
      </c>
      <c r="B18" s="5" t="n">
        <v>26586</v>
      </c>
      <c r="C18" s="5" t="n">
        <v>47366</v>
      </c>
      <c r="D18" s="5" t="n">
        <v>20021</v>
      </c>
      <c r="E18" s="5" t="n">
        <f aca="false">B18+C18+D18</f>
        <v>93973</v>
      </c>
      <c r="F18" s="6" t="n">
        <f aca="false">E18/$J$1</f>
        <v>0.125297333333333</v>
      </c>
      <c r="G18" s="5" t="n">
        <f aca="false">G17+E18</f>
        <v>1337934</v>
      </c>
    </row>
    <row r="19" customFormat="false" ht="15" hidden="false" customHeight="false" outlineLevel="0" collapsed="false">
      <c r="A19" s="4" t="s">
        <v>25</v>
      </c>
      <c r="B19" s="5" t="n">
        <v>33098</v>
      </c>
      <c r="C19" s="5" t="n">
        <v>-4517</v>
      </c>
      <c r="D19" s="5" t="n">
        <v>-72596</v>
      </c>
      <c r="E19" s="5" t="n">
        <f aca="false">B19+C19+D19</f>
        <v>-44015</v>
      </c>
      <c r="F19" s="6" t="n">
        <f aca="false">E19/$J$1</f>
        <v>-0.0586866666666667</v>
      </c>
      <c r="G19" s="5" t="n">
        <f aca="false">G18+E19</f>
        <v>1293919</v>
      </c>
    </row>
    <row r="20" customFormat="false" ht="15" hidden="false" customHeight="false" outlineLevel="0" collapsed="false">
      <c r="A20" s="4" t="s">
        <v>26</v>
      </c>
      <c r="B20" s="5" t="n">
        <v>87828</v>
      </c>
      <c r="C20" s="5" t="n">
        <v>4328</v>
      </c>
      <c r="D20" s="5" t="n">
        <v>64922</v>
      </c>
      <c r="E20" s="5" t="n">
        <f aca="false">B20+C20+D20</f>
        <v>157078</v>
      </c>
      <c r="F20" s="6" t="n">
        <f aca="false">E20/$J$1</f>
        <v>0.209437333333333</v>
      </c>
      <c r="G20" s="5" t="n">
        <f aca="false">G19+E20</f>
        <v>1450997</v>
      </c>
    </row>
    <row r="21" customFormat="false" ht="15" hidden="false" customHeight="false" outlineLevel="0" collapsed="false">
      <c r="A21" s="4" t="s">
        <v>27</v>
      </c>
      <c r="B21" s="5" t="n">
        <v>21570</v>
      </c>
      <c r="C21" s="5" t="n">
        <v>21609</v>
      </c>
      <c r="D21" s="5" t="n">
        <v>-65970</v>
      </c>
      <c r="E21" s="5" t="n">
        <f aca="false">B21+C21+D21</f>
        <v>-22791</v>
      </c>
      <c r="F21" s="6" t="n">
        <f aca="false">E21/$J$1</f>
        <v>-0.030388</v>
      </c>
      <c r="G21" s="5" t="n">
        <f aca="false">G20+E21</f>
        <v>1428206</v>
      </c>
    </row>
    <row r="22" customFormat="false" ht="15" hidden="false" customHeight="false" outlineLevel="0" collapsed="false">
      <c r="A22" s="4" t="s">
        <v>28</v>
      </c>
      <c r="B22" s="5" t="n">
        <v>102322</v>
      </c>
      <c r="C22" s="5" t="n">
        <v>12342</v>
      </c>
      <c r="D22" s="5" t="n">
        <v>85035</v>
      </c>
      <c r="E22" s="5" t="n">
        <f aca="false">B22+C22+D22</f>
        <v>199699</v>
      </c>
      <c r="F22" s="6" t="n">
        <f aca="false">E22/$J$1</f>
        <v>0.266265333333333</v>
      </c>
      <c r="G22" s="5" t="n">
        <f aca="false">G21+E22</f>
        <v>1627905</v>
      </c>
    </row>
    <row r="23" customFormat="false" ht="15" hidden="false" customHeight="false" outlineLevel="0" collapsed="false">
      <c r="A23" s="4" t="s">
        <v>29</v>
      </c>
      <c r="B23" s="5" t="n">
        <v>71731</v>
      </c>
      <c r="C23" s="5" t="n">
        <v>26344</v>
      </c>
      <c r="D23" s="5" t="n">
        <v>63554</v>
      </c>
      <c r="E23" s="5" t="n">
        <f aca="false">B23+C23+D23</f>
        <v>161629</v>
      </c>
      <c r="F23" s="6" t="n">
        <f aca="false">E23/$J$1</f>
        <v>0.215505333333333</v>
      </c>
      <c r="G23" s="5" t="n">
        <f aca="false">G22+E23</f>
        <v>1789534</v>
      </c>
    </row>
    <row r="24" customFormat="false" ht="15" hidden="false" customHeight="false" outlineLevel="0" collapsed="false">
      <c r="A24" s="4" t="s">
        <v>30</v>
      </c>
      <c r="B24" s="5" t="n">
        <v>3516</v>
      </c>
      <c r="C24" s="5" t="n">
        <v>48204</v>
      </c>
      <c r="D24" s="5" t="n">
        <v>41902</v>
      </c>
      <c r="E24" s="5" t="n">
        <f aca="false">B24+C24+D24</f>
        <v>93622</v>
      </c>
      <c r="F24" s="6" t="n">
        <f aca="false">E24/$J$1</f>
        <v>0.124829333333333</v>
      </c>
      <c r="G24" s="5" t="n">
        <f aca="false">G23+E24</f>
        <v>1883156</v>
      </c>
    </row>
    <row r="25" customFormat="false" ht="15" hidden="false" customHeight="false" outlineLevel="0" collapsed="false">
      <c r="A25" s="4" t="s">
        <v>31</v>
      </c>
      <c r="B25" s="5" t="n">
        <v>100827</v>
      </c>
      <c r="C25" s="5" t="n">
        <v>96818</v>
      </c>
      <c r="D25" s="5" t="n">
        <v>268104</v>
      </c>
      <c r="E25" s="5" t="n">
        <f aca="false">B25+C25+D25</f>
        <v>465749</v>
      </c>
      <c r="F25" s="6" t="n">
        <f aca="false">E25/$J$1</f>
        <v>0.620998666666667</v>
      </c>
      <c r="G25" s="5" t="n">
        <f aca="false">G24+E25</f>
        <v>2348905</v>
      </c>
    </row>
    <row r="26" customFormat="false" ht="15" hidden="false" customHeight="false" outlineLevel="0" collapsed="false">
      <c r="A26" s="4" t="s">
        <v>32</v>
      </c>
      <c r="B26" s="5" t="n">
        <v>29646</v>
      </c>
      <c r="C26" s="5" t="n">
        <v>7184</v>
      </c>
      <c r="D26" s="5" t="n">
        <v>201694</v>
      </c>
      <c r="E26" s="5" t="n">
        <f aca="false">B26+C26+D26</f>
        <v>238524</v>
      </c>
      <c r="F26" s="6" t="n">
        <f aca="false">E26/$J$1</f>
        <v>0.318032</v>
      </c>
      <c r="G26" s="5" t="n">
        <f aca="false">G25+E26</f>
        <v>2587429</v>
      </c>
    </row>
    <row r="27" customFormat="false" ht="15" hidden="false" customHeight="false" outlineLevel="0" collapsed="false">
      <c r="A27" s="4" t="s">
        <v>33</v>
      </c>
      <c r="B27" s="5" t="n">
        <v>30222</v>
      </c>
      <c r="C27" s="5" t="n">
        <v>66284</v>
      </c>
      <c r="D27" s="5" t="n">
        <v>10869</v>
      </c>
      <c r="E27" s="5" t="n">
        <f aca="false">B27+C27+D27</f>
        <v>107375</v>
      </c>
      <c r="F27" s="6" t="n">
        <f aca="false">E27/$J$1</f>
        <v>0.143166666666667</v>
      </c>
      <c r="G27" s="5" t="n">
        <f aca="false">G26+E27</f>
        <v>2694804</v>
      </c>
    </row>
    <row r="28" customFormat="false" ht="15" hidden="false" customHeight="false" outlineLevel="0" collapsed="false">
      <c r="A28" s="4" t="s">
        <v>34</v>
      </c>
      <c r="B28" s="5" t="n">
        <v>21506</v>
      </c>
      <c r="C28" s="5" t="n">
        <v>37017</v>
      </c>
      <c r="D28" s="5" t="n">
        <v>15579</v>
      </c>
      <c r="E28" s="5" t="n">
        <f aca="false">B28+C28+D28</f>
        <v>74102</v>
      </c>
      <c r="F28" s="6" t="n">
        <f aca="false">E28/$J$1</f>
        <v>0.0988026666666667</v>
      </c>
      <c r="G28" s="5" t="n">
        <f aca="false">G27+E28</f>
        <v>2768906</v>
      </c>
    </row>
    <row r="29" customFormat="false" ht="15" hidden="false" customHeight="false" outlineLevel="0" collapsed="false">
      <c r="A29" s="4" t="s">
        <v>35</v>
      </c>
      <c r="B29" s="5" t="n">
        <v>-27787</v>
      </c>
      <c r="C29" s="5" t="n">
        <v>19563</v>
      </c>
      <c r="D29" s="5" t="n">
        <v>-56381</v>
      </c>
      <c r="E29" s="5" t="n">
        <f aca="false">B29+C29+D29</f>
        <v>-64605</v>
      </c>
      <c r="F29" s="6" t="n">
        <f aca="false">E29/$J$1</f>
        <v>-0.08614</v>
      </c>
      <c r="G29" s="5" t="n">
        <f aca="false">G28+E29</f>
        <v>2704301</v>
      </c>
    </row>
    <row r="30" customFormat="false" ht="15" hidden="false" customHeight="false" outlineLevel="0" collapsed="false">
      <c r="A30" s="4" t="s">
        <v>36</v>
      </c>
      <c r="B30" s="5" t="n">
        <v>12961</v>
      </c>
      <c r="C30" s="5" t="n">
        <v>32312</v>
      </c>
      <c r="D30" s="5" t="n">
        <v>-21394</v>
      </c>
      <c r="E30" s="5" t="n">
        <f aca="false">B30+C30+D30</f>
        <v>23879</v>
      </c>
      <c r="F30" s="6" t="n">
        <f aca="false">E30/$J$1</f>
        <v>0.0318386666666667</v>
      </c>
      <c r="G30" s="5" t="n">
        <f aca="false">G29+E30</f>
        <v>2728180</v>
      </c>
    </row>
    <row r="31" customFormat="false" ht="15" hidden="false" customHeight="false" outlineLevel="0" collapsed="false">
      <c r="A31" s="4" t="s">
        <v>37</v>
      </c>
      <c r="B31" s="5" t="n">
        <v>502</v>
      </c>
      <c r="C31" s="5" t="n">
        <v>14680</v>
      </c>
      <c r="D31" s="5" t="n">
        <v>30502</v>
      </c>
      <c r="E31" s="5" t="n">
        <f aca="false">B31+C31+D31</f>
        <v>45684</v>
      </c>
      <c r="F31" s="6" t="n">
        <f aca="false">E31/$J$1</f>
        <v>0.060912</v>
      </c>
      <c r="G31" s="5" t="n">
        <f aca="false">G30+E31</f>
        <v>2773864</v>
      </c>
    </row>
    <row r="32" customFormat="false" ht="15" hidden="false" customHeight="false" outlineLevel="0" collapsed="false">
      <c r="A32" s="4" t="s">
        <v>38</v>
      </c>
      <c r="B32" s="5" t="n">
        <v>6154</v>
      </c>
      <c r="C32" s="5" t="n">
        <v>20712</v>
      </c>
      <c r="D32" s="5" t="n">
        <v>10364</v>
      </c>
      <c r="E32" s="5" t="n">
        <f aca="false">B32+C32+D32</f>
        <v>37230</v>
      </c>
      <c r="F32" s="6" t="n">
        <f aca="false">E32/$J$1</f>
        <v>0.04964</v>
      </c>
      <c r="G32" s="5" t="n">
        <f aca="false">G31+E32</f>
        <v>2811094</v>
      </c>
    </row>
    <row r="33" customFormat="false" ht="15" hidden="false" customHeight="false" outlineLevel="0" collapsed="false">
      <c r="A33" s="4" t="s">
        <v>39</v>
      </c>
      <c r="B33" s="5" t="n">
        <v>35476</v>
      </c>
      <c r="C33" s="5" t="n">
        <v>20953</v>
      </c>
      <c r="D33" s="5" t="n">
        <v>7300</v>
      </c>
      <c r="E33" s="5" t="n">
        <f aca="false">B33+C33+D33</f>
        <v>63729</v>
      </c>
      <c r="F33" s="6" t="n">
        <f aca="false">E33/$J$1</f>
        <v>0.084972</v>
      </c>
      <c r="G33" s="5" t="n">
        <f aca="false">G32+E33</f>
        <v>2874823</v>
      </c>
    </row>
    <row r="34" customFormat="false" ht="15" hidden="false" customHeight="false" outlineLevel="0" collapsed="false">
      <c r="A34" s="4" t="s">
        <v>40</v>
      </c>
      <c r="B34" s="5" t="n">
        <v>17717</v>
      </c>
      <c r="C34" s="5" t="n">
        <v>20778</v>
      </c>
      <c r="D34" s="5" t="n">
        <v>13467</v>
      </c>
      <c r="E34" s="5" t="n">
        <f aca="false">B34+C34+D34</f>
        <v>51962</v>
      </c>
      <c r="F34" s="6" t="n">
        <f aca="false">E34/$J$1</f>
        <v>0.0692826666666667</v>
      </c>
      <c r="G34" s="5" t="n">
        <f aca="false">G33+E34</f>
        <v>2926785</v>
      </c>
    </row>
    <row r="35" customFormat="false" ht="15" hidden="false" customHeight="false" outlineLevel="0" collapsed="false">
      <c r="A35" s="4" t="s">
        <v>41</v>
      </c>
      <c r="B35" s="5" t="n">
        <v>148542</v>
      </c>
      <c r="C35" s="5" t="n">
        <v>4707</v>
      </c>
      <c r="D35" s="5" t="n">
        <v>147210</v>
      </c>
      <c r="E35" s="5" t="n">
        <f aca="false">B35+C35+D35</f>
        <v>300459</v>
      </c>
      <c r="F35" s="6" t="n">
        <f aca="false">E35/$J$1</f>
        <v>0.400612</v>
      </c>
      <c r="G35" s="5" t="n">
        <f aca="false">G34+E35</f>
        <v>3227244</v>
      </c>
    </row>
    <row r="36" customFormat="false" ht="15" hidden="false" customHeight="false" outlineLevel="0" collapsed="false">
      <c r="A36" s="4" t="s">
        <v>42</v>
      </c>
      <c r="B36" s="5" t="n">
        <v>83592</v>
      </c>
      <c r="C36" s="5" t="n">
        <v>18773</v>
      </c>
      <c r="D36" s="5" t="n">
        <v>267694</v>
      </c>
      <c r="E36" s="5" t="n">
        <f aca="false">B36+C36+D36</f>
        <v>370059</v>
      </c>
      <c r="F36" s="6" t="n">
        <f aca="false">E36/$J$1</f>
        <v>0.493412</v>
      </c>
      <c r="G36" s="5" t="n">
        <f aca="false">G35+E36</f>
        <v>3597303</v>
      </c>
    </row>
    <row r="37" customFormat="false" ht="15" hidden="false" customHeight="false" outlineLevel="0" collapsed="false">
      <c r="A37" s="4" t="s">
        <v>43</v>
      </c>
      <c r="B37" s="5" t="n">
        <v>83560</v>
      </c>
      <c r="C37" s="5" t="n">
        <v>47129</v>
      </c>
      <c r="D37" s="5" t="n">
        <v>-67014</v>
      </c>
      <c r="E37" s="5" t="n">
        <f aca="false">B37+C37+D37</f>
        <v>63675</v>
      </c>
      <c r="F37" s="6" t="n">
        <f aca="false">E37/$J$1</f>
        <v>0.0849</v>
      </c>
      <c r="G37" s="5" t="n">
        <f aca="false">G36+E37</f>
        <v>3660978</v>
      </c>
    </row>
    <row r="38" customFormat="false" ht="15" hidden="false" customHeight="false" outlineLevel="0" collapsed="false">
      <c r="A38" s="4" t="s">
        <v>44</v>
      </c>
      <c r="B38" s="5" t="n">
        <v>-7099</v>
      </c>
      <c r="C38" s="5" t="n">
        <v>-5262</v>
      </c>
      <c r="D38" s="5" t="n">
        <v>127489</v>
      </c>
      <c r="E38" s="5" t="n">
        <f aca="false">B38+C38+D38</f>
        <v>115128</v>
      </c>
      <c r="F38" s="6" t="n">
        <f aca="false">E38/$J$1</f>
        <v>0.153504</v>
      </c>
      <c r="G38" s="5" t="n">
        <f aca="false">G37+E38</f>
        <v>3776106</v>
      </c>
    </row>
    <row r="39" customFormat="false" ht="15" hidden="false" customHeight="false" outlineLevel="0" collapsed="false">
      <c r="A39" s="4" t="s">
        <v>45</v>
      </c>
      <c r="B39" s="5" t="n">
        <v>24509</v>
      </c>
      <c r="C39" s="5" t="n">
        <v>-45522</v>
      </c>
      <c r="D39" s="5" t="n">
        <v>78024</v>
      </c>
      <c r="E39" s="5" t="n">
        <f aca="false">B39+C39+D39</f>
        <v>57011</v>
      </c>
      <c r="F39" s="6" t="n">
        <f aca="false">E39/$J$1</f>
        <v>0.0760146666666667</v>
      </c>
      <c r="G39" s="5" t="n">
        <f aca="false">G38+E39</f>
        <v>3833117</v>
      </c>
    </row>
    <row r="40" customFormat="false" ht="15" hidden="false" customHeight="false" outlineLevel="0" collapsed="false">
      <c r="A40" s="4" t="s">
        <v>46</v>
      </c>
      <c r="B40" s="5" t="n">
        <v>24549</v>
      </c>
      <c r="C40" s="5" t="n">
        <v>-4954</v>
      </c>
      <c r="D40" s="5" t="n">
        <v>-92883</v>
      </c>
      <c r="E40" s="5" t="n">
        <f aca="false">B40+C40+D40</f>
        <v>-73288</v>
      </c>
      <c r="F40" s="6" t="n">
        <f aca="false">E40/$J$1</f>
        <v>-0.0977173333333333</v>
      </c>
      <c r="G40" s="5" t="n">
        <f aca="false">G39+E40</f>
        <v>3759829</v>
      </c>
    </row>
    <row r="41" customFormat="false" ht="15" hidden="false" customHeight="false" outlineLevel="0" collapsed="false">
      <c r="A41" s="4" t="s">
        <v>47</v>
      </c>
      <c r="B41" s="5" t="n">
        <v>61388</v>
      </c>
      <c r="C41" s="5" t="n">
        <v>41751</v>
      </c>
      <c r="D41" s="5" t="n">
        <v>-22670</v>
      </c>
      <c r="E41" s="5" t="n">
        <f aca="false">B41+C41+D41</f>
        <v>80469</v>
      </c>
      <c r="F41" s="6" t="n">
        <f aca="false">E41/$J$1</f>
        <v>0.107292</v>
      </c>
      <c r="G41" s="5" t="n">
        <f aca="false">G40+E41</f>
        <v>3840298</v>
      </c>
    </row>
    <row r="42" customFormat="false" ht="15" hidden="false" customHeight="false" outlineLevel="0" collapsed="false">
      <c r="A42" s="4" t="s">
        <v>48</v>
      </c>
      <c r="B42" s="5" t="n">
        <v>3658</v>
      </c>
      <c r="C42" s="5" t="n">
        <v>30087</v>
      </c>
      <c r="D42" s="5" t="n">
        <v>11830</v>
      </c>
      <c r="E42" s="5" t="n">
        <f aca="false">B42+C42+D42</f>
        <v>45575</v>
      </c>
      <c r="F42" s="6" t="n">
        <f aca="false">E42/$J$1</f>
        <v>0.0607666666666667</v>
      </c>
      <c r="G42" s="5" t="n">
        <f aca="false">G41+E42</f>
        <v>3885873</v>
      </c>
    </row>
    <row r="43" customFormat="false" ht="15" hidden="false" customHeight="false" outlineLevel="0" collapsed="false">
      <c r="A43" s="4" t="s">
        <v>49</v>
      </c>
      <c r="B43" s="5" t="n">
        <v>23239</v>
      </c>
      <c r="C43" s="5" t="n">
        <v>27241</v>
      </c>
      <c r="D43" s="5" t="n">
        <v>0</v>
      </c>
      <c r="E43" s="5" t="n">
        <f aca="false">B43+C43+D43</f>
        <v>50480</v>
      </c>
      <c r="F43" s="6" t="n">
        <f aca="false">E43/$J$1</f>
        <v>0.0673066666666667</v>
      </c>
      <c r="G43" s="5" t="n">
        <f aca="false">G42+E43</f>
        <v>3936353</v>
      </c>
    </row>
    <row r="44" customFormat="false" ht="15" hidden="false" customHeight="false" outlineLevel="0" collapsed="false">
      <c r="A44" s="4" t="s">
        <v>50</v>
      </c>
      <c r="B44" s="5" t="n">
        <f aca="false">SUM(B2:B43)</f>
        <v>1390156</v>
      </c>
      <c r="C44" s="5" t="n">
        <f aca="false">SUM(C2:C43)</f>
        <v>1249838</v>
      </c>
      <c r="D44" s="5" t="n">
        <f aca="false">SUM(D2:D43)</f>
        <v>1296359</v>
      </c>
      <c r="E44" s="5" t="n">
        <f aca="false">SUM(E2:E43)</f>
        <v>3936353</v>
      </c>
    </row>
    <row r="46" customFormat="false" ht="15" hidden="false" customHeight="false" outlineLevel="0" collapsed="false">
      <c r="A46" s="7" t="s">
        <v>51</v>
      </c>
    </row>
    <row r="47" customFormat="false" ht="15" hidden="false" customHeight="false" outlineLevel="0" collapsed="false">
      <c r="A47" s="7" t="s">
        <v>52</v>
      </c>
    </row>
    <row r="48" customFormat="false" ht="15" hidden="false" customHeight="false" outlineLevel="0" collapsed="false">
      <c r="A48" s="7" t="s">
        <v>53</v>
      </c>
    </row>
  </sheetData>
  <conditionalFormatting sqref="E2:E43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2026-10-26T05:24:16Z</dcterms:created>
  <dc:creator>openpyxl</dc:creator>
  <dc:description/>
  <dc:language>en-US</dc:language>
  <cp:lastModifiedBy/>
  <dcterms:modified xsi:type="dcterms:W3CDTF">2026-10-26T05:24:16Z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
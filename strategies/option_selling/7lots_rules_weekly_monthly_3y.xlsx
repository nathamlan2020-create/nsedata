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les" sheetId="1" state="visible" r:id="rId3"/>
    <sheet name="Weekly" sheetId="2" state="visible" r:id="rId4"/>
    <sheet name="Monthl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<sst xmlns="http://schemas.openxmlformats.org/spreadsheetml/2006/main" count="231" uniqueCount="224">
  <si>
    <t xml:space="preserve">NIFTY + SENSEX EXPIRY-DAY STRADDLE - 7 HEDGED LOTS, CAPITAL Rs 7.5 LAKH</t>
  </si>
  <si>
    <t xml:space="preserve">Tuesday = Nifty weekly expiry; Thursday = Sensex weekly expiry (if a holiday, the previous trading day). No option selling Mon/Wed/Fri.</t>
  </si>
  <si>
    <t xml:space="preserve">ENTRIES (each = 1 ATM CE + 1 ATM PE sold, after first buying Rs 1 hedges)</t>
  </si>
  <si>
    <t xml:space="preserve">Nifty (lot 65, 50-pt strikes): 2 lots at 9:22, 2 lots at 9:35, 3 lots at 10:05</t>
  </si>
  <si>
    <t xml:space="preserve">Sensex (lot 20, 100-pt strikes): 2 lots at 9:45, 2 lots at 10:05, 3 lots at 10:35</t>
  </si>
  <si>
    <t xml:space="preserve">ATM = strike nearest to the index at that minute.</t>
  </si>
  <si>
    <t xml:space="preserve">Hedge: BUY 1 far CE and 1 far PE per lot priced about Rs 1 (Nifty ~2.5% above / ~4% below; Sensex ~2.4% above / ~3.8% below). Buy hedges FIRST, then sell. Hold to 15:15.</t>
  </si>
  <si>
    <t xml:space="preserve">STOPS AND EXITS</t>
  </si>
  <si>
    <t xml:space="preserve">1. Stop-loss 40% above the sell price on EACH leg (SL-limit order placed right after entry).</t>
  </si>
  <si>
    <t xml:space="preserve">2. When one leg is stopped, move the other leg's stop to its sell price (cost).</t>
  </si>
  <si>
    <t xml:space="preserve">3. Re-entry: if BOTH legs of a lot are stopped before 1:00 PM, re-sell one fresh ATM straddle for that lot ONLY if the day's total P&amp;L is positive at that moment. Max 1 re-entry per lot.</t>
  </si>
  <si>
    <t xml:space="preserve">4. Exit everything still open at 15:15.</t>
  </si>
  <si>
    <t xml:space="preserve">LOSS LIMITS</t>
  </si>
  <si>
    <t xml:space="preserve">5. Day stop: if the day's total running P&amp;L (all straddles + hedges) reaches -Rs 20,000, exit everything and stop for the day.</t>
  </si>
  <si>
    <t xml:space="preserve">6. Drawdown rule: if the account is more than Rs 30,000 below its last peak, trade 3 lots (1+1+1) until a new peak, then return to 7.</t>
  </si>
  <si>
    <t xml:space="preserve">7. Skip: Union Budget day, election-result day, RBI policy day.</t>
  </si>
  <si>
    <t xml:space="preserve">SCALE-UP</t>
  </si>
  <si>
    <t xml:space="preserve">Months 1-2: 3 lots (1+1+1) per expiry day. Months 3-4: 5 lots (1+2+2) if live results track the backtest. Then 7 lots (2+2+3). Step back down after a month worse than -Rs 40,000.</t>
  </si>
  <si>
    <t xml:space="preserve">NOTES</t>
  </si>
  <si>
    <t xml:space="preserve">Backtest uses rebuilt option prices (Nifty calibrated to real NSE 9:15 straddle prices; Sensex from India VIX + real Sensex daily ranges). Costs included (STT, charges, brokerage, slippage incl. extra for size). Income tax not included (F&amp;O = business income at slab rate). Treat Rs figures as optimistic estimates.</t>
  </si>
  <si>
    <t xml:space="preserve">Margin with hedges ~Rs 65-70k per straddle -&gt; ~Rs 4.7 lakh for 7 lots; Tuesday and Thursday reuse the same margin.</t>
  </si>
  <si>
    <t xml:space="preserve">Week (Mon-Sun)</t>
  </si>
  <si>
    <t xml:space="preserve">Nifty ₹ (Tue)</t>
  </si>
  <si>
    <t xml:space="preserve">Sensex ₹ (Thu)</t>
  </si>
  <si>
    <t xml:space="preserve">Total ₹</t>
  </si>
  <si>
    <t xml:space="preserve">% of ₹7.5 L</t>
  </si>
  <si>
    <t xml:space="preserve">Cumulative ₹</t>
  </si>
  <si>
    <t xml:space="preserve">23 Oct 2023 - 29 Oct</t>
  </si>
  <si>
    <t xml:space="preserve">30 Oct 2023 - 05 Nov</t>
  </si>
  <si>
    <t xml:space="preserve">06 Nov 2023 - 12 Nov</t>
  </si>
  <si>
    <t xml:space="preserve">13 Nov 2023 - 19 Nov</t>
  </si>
  <si>
    <t xml:space="preserve">20 Nov 2023 - 26 Nov</t>
  </si>
  <si>
    <t xml:space="preserve">27 Nov 2023 - 03 Dec</t>
  </si>
  <si>
    <t xml:space="preserve">04 Dec 2023 - 10 Dec</t>
  </si>
  <si>
    <t xml:space="preserve">11 Dec 2023 - 17 Dec</t>
  </si>
  <si>
    <t xml:space="preserve">18 Dec 2023 - 24 Dec</t>
  </si>
  <si>
    <t xml:space="preserve">25 Dec 2023 - 31 Dec</t>
  </si>
  <si>
    <t xml:space="preserve">01 Jan 2024 - 07 Jan</t>
  </si>
  <si>
    <t xml:space="preserve">08 Jan 2024 - 14 Jan</t>
  </si>
  <si>
    <t xml:space="preserve">15 Jan 2024 - 21 Jan</t>
  </si>
  <si>
    <t xml:space="preserve">22 Jan 2024 - 28 Jan</t>
  </si>
  <si>
    <t xml:space="preserve">29 Jan 2024 - 04 Feb</t>
  </si>
  <si>
    <t xml:space="preserve">05 Feb 2024 - 11 Feb</t>
  </si>
  <si>
    <t xml:space="preserve">12 Feb 2024 - 18 Feb</t>
  </si>
  <si>
    <t xml:space="preserve">19 Feb 2024 - 25 Feb</t>
  </si>
  <si>
    <t xml:space="preserve">26 Feb 2024 - 03 Mar</t>
  </si>
  <si>
    <t xml:space="preserve">04 Mar 2024 - 10 Mar</t>
  </si>
  <si>
    <t xml:space="preserve">11 Mar 2024 - 17 Mar</t>
  </si>
  <si>
    <t xml:space="preserve">18 Mar 2024 - 24 Mar</t>
  </si>
  <si>
    <t xml:space="preserve">25 Mar 2024 - 31 Mar</t>
  </si>
  <si>
    <t xml:space="preserve">01 Apr 2024 - 07 Apr</t>
  </si>
  <si>
    <t xml:space="preserve">08 Apr 2024 - 14 Apr</t>
  </si>
  <si>
    <t xml:space="preserve">15 Apr 2024 - 21 Apr</t>
  </si>
  <si>
    <t xml:space="preserve">22 Apr 2024 - 28 Apr</t>
  </si>
  <si>
    <t xml:space="preserve">29 Apr 2024 - 05 May</t>
  </si>
  <si>
    <t xml:space="preserve">06 May 2024 - 12 May</t>
  </si>
  <si>
    <t xml:space="preserve">13 May 2024 - 19 May</t>
  </si>
  <si>
    <t xml:space="preserve">20 May 2024 - 26 May</t>
  </si>
  <si>
    <t xml:space="preserve">27 May 2024 - 02 Jun</t>
  </si>
  <si>
    <t xml:space="preserve">03 Jun 2024 - 09 Jun</t>
  </si>
  <si>
    <t xml:space="preserve">10 Jun 2024 - 16 Jun</t>
  </si>
  <si>
    <t xml:space="preserve">17 Jun 2024 - 23 Jun</t>
  </si>
  <si>
    <t xml:space="preserve">24 Jun 2024 - 30 Jun</t>
  </si>
  <si>
    <t xml:space="preserve">01 Jul 2024 - 07 Jul</t>
  </si>
  <si>
    <t xml:space="preserve">08 Jul 2024 - 14 Jul</t>
  </si>
  <si>
    <t xml:space="preserve">15 Jul 2024 - 21 Jul</t>
  </si>
  <si>
    <t xml:space="preserve">22 Jul 2024 - 28 Jul</t>
  </si>
  <si>
    <t xml:space="preserve">29 Jul 2024 - 04 Aug</t>
  </si>
  <si>
    <t xml:space="preserve">05 Aug 2024 - 11 Aug</t>
  </si>
  <si>
    <t xml:space="preserve">12 Aug 2024 - 18 Aug</t>
  </si>
  <si>
    <t xml:space="preserve">19 Aug 2024 - 25 Aug</t>
  </si>
  <si>
    <t xml:space="preserve">26 Aug 2024 - 01 Sep</t>
  </si>
  <si>
    <t xml:space="preserve">02 Sep 2024 - 08 Sep</t>
  </si>
  <si>
    <t xml:space="preserve">09 Sep 2024 - 15 Sep</t>
  </si>
  <si>
    <t xml:space="preserve">16 Sep 2024 - 22 Sep</t>
  </si>
  <si>
    <t xml:space="preserve">23 Sep 2024 - 29 Sep</t>
  </si>
  <si>
    <t xml:space="preserve">30 Sep 2024 - 06 Oct</t>
  </si>
  <si>
    <t xml:space="preserve">07 Oct 2024 - 13 Oct</t>
  </si>
  <si>
    <t xml:space="preserve">14 Oct 2024 - 20 Oct</t>
  </si>
  <si>
    <t xml:space="preserve">21 Oct 2024 - 27 Oct</t>
  </si>
  <si>
    <t xml:space="preserve">28 Oct 2024 - 03 Nov</t>
  </si>
  <si>
    <t xml:space="preserve">04 Nov 2024 - 10 Nov</t>
  </si>
  <si>
    <t xml:space="preserve">11 Nov 2024 - 17 Nov</t>
  </si>
  <si>
    <t xml:space="preserve">18 Nov 2024 - 24 Nov</t>
  </si>
  <si>
    <t xml:space="preserve">25 Nov 2024 - 01 Dec</t>
  </si>
  <si>
    <t xml:space="preserve">02 Dec 2024 - 08 Dec</t>
  </si>
  <si>
    <t xml:space="preserve">09 Dec 2024 - 15 Dec</t>
  </si>
  <si>
    <t xml:space="preserve">16 Dec 2024 - 22 Dec</t>
  </si>
  <si>
    <t xml:space="preserve">23 Dec 2024 - 29 Dec</t>
  </si>
  <si>
    <t xml:space="preserve">30 Dec 2024 - 05 Jan</t>
  </si>
  <si>
    <t xml:space="preserve">06 Jan 2025 - 12 Jan</t>
  </si>
  <si>
    <t xml:space="preserve">13 Jan 2025 - 19 Jan</t>
  </si>
  <si>
    <t xml:space="preserve">20 Jan 2025 - 26 Jan</t>
  </si>
  <si>
    <t xml:space="preserve">27 Jan 2025 - 02 Feb</t>
  </si>
  <si>
    <t xml:space="preserve">03 Feb 2025 - 09 Feb</t>
  </si>
  <si>
    <t xml:space="preserve">10 Feb 2025 - 16 Feb</t>
  </si>
  <si>
    <t xml:space="preserve">17 Feb 2025 - 23 Feb</t>
  </si>
  <si>
    <t xml:space="preserve">24 Feb 2025 - 02 Mar</t>
  </si>
  <si>
    <t xml:space="preserve">03 Mar 2025 - 09 Mar</t>
  </si>
  <si>
    <t xml:space="preserve">10 Mar 2025 - 16 Mar</t>
  </si>
  <si>
    <t xml:space="preserve">17 Mar 2025 - 23 Mar</t>
  </si>
  <si>
    <t xml:space="preserve">24 Mar 2025 - 30 Mar</t>
  </si>
  <si>
    <t xml:space="preserve">31 Mar 2025 - 06 Apr</t>
  </si>
  <si>
    <t xml:space="preserve">07 Apr 2025 - 13 Apr</t>
  </si>
  <si>
    <t xml:space="preserve">14 Apr 2025 - 20 Apr</t>
  </si>
  <si>
    <t xml:space="preserve">21 Apr 2025 - 27 Apr</t>
  </si>
  <si>
    <t xml:space="preserve">28 Apr 2025 - 04 May</t>
  </si>
  <si>
    <t xml:space="preserve">05 May 2025 - 11 May</t>
  </si>
  <si>
    <t xml:space="preserve">12 May 2025 - 18 May</t>
  </si>
  <si>
    <t xml:space="preserve">19 May 2025 - 25 May</t>
  </si>
  <si>
    <t xml:space="preserve">26 May 2025 - 01 Jun</t>
  </si>
  <si>
    <t xml:space="preserve">02 Jun 2025 - 08 Jun</t>
  </si>
  <si>
    <t xml:space="preserve">09 Jun 2025 - 15 Jun</t>
  </si>
  <si>
    <t xml:space="preserve">16 Jun 2025 - 22 Jun</t>
  </si>
  <si>
    <t xml:space="preserve">23 Jun 2025 - 29 Jun</t>
  </si>
  <si>
    <t xml:space="preserve">30 Jun 2025 - 06 Jul</t>
  </si>
  <si>
    <t xml:space="preserve">07 Jul 2025 - 13 Jul</t>
  </si>
  <si>
    <t xml:space="preserve">14 Jul 2025 - 20 Jul</t>
  </si>
  <si>
    <t xml:space="preserve">21 Jul 2025 - 27 Jul</t>
  </si>
  <si>
    <t xml:space="preserve">28 Jul 2025 - 03 Aug</t>
  </si>
  <si>
    <t xml:space="preserve">04 Aug 2025 - 10 Aug</t>
  </si>
  <si>
    <t xml:space="preserve">11 Aug 2025 - 17 Aug</t>
  </si>
  <si>
    <t xml:space="preserve">18 Aug 2025 - 24 Aug</t>
  </si>
  <si>
    <t xml:space="preserve">25 Aug 2025 - 31 Aug</t>
  </si>
  <si>
    <t xml:space="preserve">01 Sep 2025 - 07 Sep</t>
  </si>
  <si>
    <t xml:space="preserve">08 Sep 2025 - 14 Sep</t>
  </si>
  <si>
    <t xml:space="preserve">15 Sep 2025 - 21 Sep</t>
  </si>
  <si>
    <t xml:space="preserve">22 Sep 2025 - 28 Sep</t>
  </si>
  <si>
    <t xml:space="preserve">29 Sep 2025 - 05 Oct</t>
  </si>
  <si>
    <t xml:space="preserve">06 Oct 2025 - 12 Oct</t>
  </si>
  <si>
    <t xml:space="preserve">13 Oct 2025 - 19 Oct</t>
  </si>
  <si>
    <t xml:space="preserve">20 Oct 2025 - 26 Oct</t>
  </si>
  <si>
    <t xml:space="preserve">27 Oct 2025 - 02 Nov</t>
  </si>
  <si>
    <t xml:space="preserve">03 Nov 2025 - 09 Nov</t>
  </si>
  <si>
    <t xml:space="preserve">10 Nov 2025 - 16 Nov</t>
  </si>
  <si>
    <t xml:space="preserve">17 Nov 2025 - 23 Nov</t>
  </si>
  <si>
    <t xml:space="preserve">24 Nov 2025 - 30 Nov</t>
  </si>
  <si>
    <t xml:space="preserve">01 Dec 2025 - 07 Dec</t>
  </si>
  <si>
    <t xml:space="preserve">08 Dec 2025 - 14 Dec</t>
  </si>
  <si>
    <t xml:space="preserve">15 Dec 2025 - 21 Dec</t>
  </si>
  <si>
    <t xml:space="preserve">22 Dec 2025 - 28 Dec</t>
  </si>
  <si>
    <t xml:space="preserve">29 Dec 2025 - 04 Jan</t>
  </si>
  <si>
    <t xml:space="preserve">05 Jan 2026 - 11 Jan</t>
  </si>
  <si>
    <t xml:space="preserve">12 Jan 2026 - 18 Jan</t>
  </si>
  <si>
    <t xml:space="preserve">19 Jan 2026 - 25 Jan</t>
  </si>
  <si>
    <t xml:space="preserve">26 Jan 2026 - 01 Feb</t>
  </si>
  <si>
    <t xml:space="preserve">02 Feb 2026 - 08 Feb</t>
  </si>
  <si>
    <t xml:space="preserve">09 Feb 2026 - 15 Feb</t>
  </si>
  <si>
    <t xml:space="preserve">16 Feb 2026 - 22 Feb</t>
  </si>
  <si>
    <t xml:space="preserve">23 Feb 2026 - 01 Mar</t>
  </si>
  <si>
    <t xml:space="preserve">02 Mar 2026 - 08 Mar</t>
  </si>
  <si>
    <t xml:space="preserve">09 Mar 2026 - 15 Mar</t>
  </si>
  <si>
    <t xml:space="preserve">16 Mar 2026 - 22 Mar</t>
  </si>
  <si>
    <t xml:space="preserve">23 Mar 2026 - 29 Mar</t>
  </si>
  <si>
    <t xml:space="preserve">30 Mar 2026 - 05 Apr</t>
  </si>
  <si>
    <t xml:space="preserve">06 Apr 2026 - 12 Apr</t>
  </si>
  <si>
    <t xml:space="preserve">13 Apr 2026 - 19 Apr</t>
  </si>
  <si>
    <t xml:space="preserve">20 Apr 2026 - 26 Apr</t>
  </si>
  <si>
    <t xml:space="preserve">27 Apr 2026 - 03 May</t>
  </si>
  <si>
    <t xml:space="preserve">04 May 2026 - 10 May</t>
  </si>
  <si>
    <t xml:space="preserve">11 May 2026 - 17 May</t>
  </si>
  <si>
    <t xml:space="preserve">18 May 2026 - 24 May</t>
  </si>
  <si>
    <t xml:space="preserve">25 May 2026 - 31 May</t>
  </si>
  <si>
    <t xml:space="preserve">01 Jun 2026 - 07 Jun</t>
  </si>
  <si>
    <t xml:space="preserve">08 Jun 2026 - 14 Jun</t>
  </si>
  <si>
    <t xml:space="preserve">15 Jun 2026 - 21 Jun</t>
  </si>
  <si>
    <t xml:space="preserve">22 Jun 2026 - 28 Jun</t>
  </si>
  <si>
    <t xml:space="preserve">29 Jun 2026 - 05 Jul</t>
  </si>
  <si>
    <t xml:space="preserve">06 Jul 2026 - 12 Jul</t>
  </si>
  <si>
    <t xml:space="preserve">13 Jul 2026 - 19 Jul</t>
  </si>
  <si>
    <t xml:space="preserve">20 Jul 2026 - 26 Jul</t>
  </si>
  <si>
    <t xml:space="preserve">27 Jul 2026 - 02 Aug</t>
  </si>
  <si>
    <t xml:space="preserve">03 Aug 2026 - 09 Aug</t>
  </si>
  <si>
    <t xml:space="preserve">10 Aug 2026 - 16 Aug</t>
  </si>
  <si>
    <t xml:space="preserve">17 Aug 2026 - 23 Aug</t>
  </si>
  <si>
    <t xml:space="preserve">24 Aug 2026 - 30 Aug</t>
  </si>
  <si>
    <t xml:space="preserve">31 Aug 2026 - 06 Sep</t>
  </si>
  <si>
    <t xml:space="preserve">07 Sep 2026 - 13 Sep</t>
  </si>
  <si>
    <t xml:space="preserve">14 Sep 2026 - 20 Sep</t>
  </si>
  <si>
    <t xml:space="preserve">21 Sep 2026 - 27 Sep</t>
  </si>
  <si>
    <t xml:space="preserve">28 Sep 2026 - 04 Oct</t>
  </si>
  <si>
    <t xml:space="preserve">05 Oct 2026 - 11 Oct</t>
  </si>
  <si>
    <t xml:space="preserve">12 Oct 2026 - 18 Oct</t>
  </si>
  <si>
    <t xml:space="preserve">19 Oct 2026 - 25 Oct</t>
  </si>
  <si>
    <t xml:space="preserve">Total</t>
  </si>
  <si>
    <t xml:space="preserve">Last 3 years: 26 Oct 2023 - 23 Oct 2026. 7 hedged lots with loss limits. Rebuilt prices; after costs, before tax.</t>
  </si>
  <si>
    <t xml:space="preserve">Month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</si>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</sst>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[RED]\-#,##0;\-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7DA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23.8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23.8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23.8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4"/>
  </cols>
  <sheetData>
    <row r="1" customFormat="false" ht="26.8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</row>
    <row r="2" customFormat="false" ht="15" hidden="false" customHeight="false" outlineLevel="0" collapsed="false">
      <c r="A2" s="5" t="s">
        <v>27</v>
      </c>
      <c r="B2" s="6" t="n">
        <v>8677</v>
      </c>
      <c r="C2" s="6" t="n">
        <v>-4862</v>
      </c>
      <c r="D2" s="6" t="n">
        <f aca="false">B2+C2</f>
        <v>3815</v>
      </c>
      <c r="E2" s="7" t="n">
        <f aca="false">D2/750000</f>
        <v>0.00508666666666667</v>
      </c>
      <c r="F2" s="6" t="n">
        <f aca="false">D2</f>
        <v>3815</v>
      </c>
    </row>
    <row r="3" customFormat="false" ht="15" hidden="false" customHeight="false" outlineLevel="0" collapsed="false">
      <c r="A3" s="5" t="s">
        <v>28</v>
      </c>
      <c r="B3" s="6" t="n">
        <v>7756</v>
      </c>
      <c r="C3" s="6" t="n">
        <v>10966</v>
      </c>
      <c r="D3" s="6" t="n">
        <f aca="false">B3+C3</f>
        <v>18722</v>
      </c>
      <c r="E3" s="7" t="n">
        <f aca="false">D3/750000</f>
        <v>0.0249626666666667</v>
      </c>
      <c r="F3" s="6" t="n">
        <f aca="false">F2+D3</f>
        <v>22537</v>
      </c>
    </row>
    <row r="4" customFormat="false" ht="15" hidden="false" customHeight="false" outlineLevel="0" collapsed="false">
      <c r="A4" s="5" t="s">
        <v>29</v>
      </c>
      <c r="B4" s="6" t="n">
        <v>17268</v>
      </c>
      <c r="C4" s="6" t="n">
        <v>6462</v>
      </c>
      <c r="D4" s="6" t="n">
        <f aca="false">B4+C4</f>
        <v>23730</v>
      </c>
      <c r="E4" s="7" t="n">
        <f aca="false">D4/750000</f>
        <v>0.03164</v>
      </c>
      <c r="F4" s="6" t="n">
        <f aca="false">F3+D4</f>
        <v>46267</v>
      </c>
    </row>
    <row r="5" customFormat="false" ht="15" hidden="false" customHeight="false" outlineLevel="0" collapsed="false">
      <c r="A5" s="5" t="s">
        <v>30</v>
      </c>
      <c r="B5" s="6" t="n">
        <v>7088</v>
      </c>
      <c r="C5" s="6" t="n">
        <v>12702</v>
      </c>
      <c r="D5" s="6" t="n">
        <f aca="false">B5+C5</f>
        <v>19790</v>
      </c>
      <c r="E5" s="7" t="n">
        <f aca="false">D5/750000</f>
        <v>0.0263866666666667</v>
      </c>
      <c r="F5" s="6" t="n">
        <f aca="false">F4+D5</f>
        <v>66057</v>
      </c>
    </row>
    <row r="6" customFormat="false" ht="15" hidden="false" customHeight="false" outlineLevel="0" collapsed="false">
      <c r="A6" s="5" t="s">
        <v>31</v>
      </c>
      <c r="B6" s="6" t="n">
        <v>3007</v>
      </c>
      <c r="C6" s="6" t="n">
        <v>25143</v>
      </c>
      <c r="D6" s="6" t="n">
        <f aca="false">B6+C6</f>
        <v>28150</v>
      </c>
      <c r="E6" s="7" t="n">
        <f aca="false">D6/750000</f>
        <v>0.0375333333333333</v>
      </c>
      <c r="F6" s="6" t="n">
        <f aca="false">F5+D6</f>
        <v>94207</v>
      </c>
    </row>
    <row r="7" customFormat="false" ht="15" hidden="false" customHeight="false" outlineLevel="0" collapsed="false">
      <c r="A7" s="5" t="s">
        <v>32</v>
      </c>
      <c r="B7" s="6" t="n">
        <v>2946</v>
      </c>
      <c r="C7" s="6" t="n">
        <v>23234</v>
      </c>
      <c r="D7" s="6" t="n">
        <f aca="false">B7+C7</f>
        <v>26180</v>
      </c>
      <c r="E7" s="7" t="n">
        <f aca="false">D7/750000</f>
        <v>0.0349066666666667</v>
      </c>
      <c r="F7" s="6" t="n">
        <f aca="false">F6+D7</f>
        <v>120387</v>
      </c>
    </row>
    <row r="8" customFormat="false" ht="15" hidden="false" customHeight="false" outlineLevel="0" collapsed="false">
      <c r="A8" s="5" t="s">
        <v>33</v>
      </c>
      <c r="B8" s="6" t="n">
        <v>4803</v>
      </c>
      <c r="C8" s="6" t="n">
        <v>8757</v>
      </c>
      <c r="D8" s="6" t="n">
        <f aca="false">B8+C8</f>
        <v>13560</v>
      </c>
      <c r="E8" s="7" t="n">
        <f aca="false">D8/750000</f>
        <v>0.01808</v>
      </c>
      <c r="F8" s="6" t="n">
        <f aca="false">F7+D8</f>
        <v>133947</v>
      </c>
    </row>
    <row r="9" customFormat="false" ht="15" hidden="false" customHeight="false" outlineLevel="0" collapsed="false">
      <c r="A9" s="5" t="s">
        <v>34</v>
      </c>
      <c r="B9" s="6" t="n">
        <v>-7186</v>
      </c>
      <c r="C9" s="6" t="n">
        <v>-7791</v>
      </c>
      <c r="D9" s="6" t="n">
        <f aca="false">B9+C9</f>
        <v>-14977</v>
      </c>
      <c r="E9" s="7" t="n">
        <f aca="false">D9/750000</f>
        <v>-0.0199693333333333</v>
      </c>
      <c r="F9" s="6" t="n">
        <f aca="false">F8+D9</f>
        <v>118970</v>
      </c>
    </row>
    <row r="10" customFormat="false" ht="15" hidden="false" customHeight="false" outlineLevel="0" collapsed="false">
      <c r="A10" s="5" t="s">
        <v>35</v>
      </c>
      <c r="B10" s="6" t="n">
        <v>-7441</v>
      </c>
      <c r="C10" s="6" t="n">
        <v>579</v>
      </c>
      <c r="D10" s="6" t="n">
        <f aca="false">B10+C10</f>
        <v>-6862</v>
      </c>
      <c r="E10" s="7" t="n">
        <f aca="false">D10/750000</f>
        <v>-0.00914933333333333</v>
      </c>
      <c r="F10" s="6" t="n">
        <f aca="false">F9+D10</f>
        <v>112108</v>
      </c>
    </row>
    <row r="11" customFormat="false" ht="15" hidden="false" customHeight="false" outlineLevel="0" collapsed="false">
      <c r="A11" s="5" t="s">
        <v>36</v>
      </c>
      <c r="B11" s="6" t="n">
        <v>-3289</v>
      </c>
      <c r="C11" s="6" t="n">
        <v>25026</v>
      </c>
      <c r="D11" s="6" t="n">
        <f aca="false">B11+C11</f>
        <v>21737</v>
      </c>
      <c r="E11" s="7" t="n">
        <f aca="false">D11/750000</f>
        <v>0.0289826666666667</v>
      </c>
      <c r="F11" s="6" t="n">
        <f aca="false">F10+D11</f>
        <v>133845</v>
      </c>
    </row>
    <row r="12" customFormat="false" ht="15" hidden="false" customHeight="false" outlineLevel="0" collapsed="false">
      <c r="A12" s="5" t="s">
        <v>37</v>
      </c>
      <c r="B12" s="6" t="n">
        <v>11000</v>
      </c>
      <c r="C12" s="6" t="n">
        <v>11750</v>
      </c>
      <c r="D12" s="6" t="n">
        <f aca="false">B12+C12</f>
        <v>22750</v>
      </c>
      <c r="E12" s="7" t="n">
        <f aca="false">D12/750000</f>
        <v>0.0303333333333333</v>
      </c>
      <c r="F12" s="6" t="n">
        <f aca="false">F11+D12</f>
        <v>156595</v>
      </c>
    </row>
    <row r="13" customFormat="false" ht="15" hidden="false" customHeight="false" outlineLevel="0" collapsed="false">
      <c r="A13" s="5" t="s">
        <v>38</v>
      </c>
      <c r="B13" s="6" t="n">
        <v>10020</v>
      </c>
      <c r="C13" s="6" t="n">
        <v>10061</v>
      </c>
      <c r="D13" s="6" t="n">
        <f aca="false">B13+C13</f>
        <v>20081</v>
      </c>
      <c r="E13" s="7" t="n">
        <f aca="false">D13/750000</f>
        <v>0.0267746666666667</v>
      </c>
      <c r="F13" s="6" t="n">
        <f aca="false">F12+D13</f>
        <v>176676</v>
      </c>
    </row>
    <row r="14" customFormat="false" ht="15" hidden="false" customHeight="false" outlineLevel="0" collapsed="false">
      <c r="A14" s="5" t="s">
        <v>39</v>
      </c>
      <c r="B14" s="6" t="n">
        <v>-7565</v>
      </c>
      <c r="C14" s="6" t="n">
        <v>10690</v>
      </c>
      <c r="D14" s="6" t="n">
        <f aca="false">B14+C14</f>
        <v>3125</v>
      </c>
      <c r="E14" s="7" t="n">
        <f aca="false">D14/750000</f>
        <v>0.00416666666666667</v>
      </c>
      <c r="F14" s="6" t="n">
        <f aca="false">F13+D14</f>
        <v>179801</v>
      </c>
    </row>
    <row r="15" customFormat="false" ht="15" hidden="false" customHeight="false" outlineLevel="0" collapsed="false">
      <c r="A15" s="5" t="s">
        <v>40</v>
      </c>
      <c r="B15" s="6" t="n">
        <v>2838</v>
      </c>
      <c r="C15" s="6" t="n">
        <v>0</v>
      </c>
      <c r="D15" s="6" t="n">
        <f aca="false">B15+C15</f>
        <v>2838</v>
      </c>
      <c r="E15" s="7" t="n">
        <f aca="false">D15/750000</f>
        <v>0.003784</v>
      </c>
      <c r="F15" s="6" t="n">
        <f aca="false">F14+D15</f>
        <v>182639</v>
      </c>
    </row>
    <row r="16" customFormat="false" ht="15" hidden="false" customHeight="false" outlineLevel="0" collapsed="false">
      <c r="A16" s="5" t="s">
        <v>41</v>
      </c>
      <c r="B16" s="6" t="n">
        <v>75230</v>
      </c>
      <c r="C16" s="6" t="n">
        <v>-14724</v>
      </c>
      <c r="D16" s="6" t="n">
        <f aca="false">B16+C16</f>
        <v>60506</v>
      </c>
      <c r="E16" s="7" t="n">
        <f aca="false">D16/750000</f>
        <v>0.0806746666666667</v>
      </c>
      <c r="F16" s="6" t="n">
        <f aca="false">F15+D16</f>
        <v>243145</v>
      </c>
    </row>
    <row r="17" customFormat="false" ht="15" hidden="false" customHeight="false" outlineLevel="0" collapsed="false">
      <c r="A17" s="5" t="s">
        <v>42</v>
      </c>
      <c r="B17" s="6" t="n">
        <v>13129</v>
      </c>
      <c r="C17" s="6" t="n">
        <v>-11112</v>
      </c>
      <c r="D17" s="6" t="n">
        <f aca="false">B17+C17</f>
        <v>2017</v>
      </c>
      <c r="E17" s="7" t="n">
        <f aca="false">D17/750000</f>
        <v>0.00268933333333333</v>
      </c>
      <c r="F17" s="6" t="n">
        <f aca="false">F16+D17</f>
        <v>245162</v>
      </c>
    </row>
    <row r="18" customFormat="false" ht="15" hidden="false" customHeight="false" outlineLevel="0" collapsed="false">
      <c r="A18" s="5" t="s">
        <v>43</v>
      </c>
      <c r="B18" s="6" t="n">
        <v>-2495</v>
      </c>
      <c r="C18" s="6" t="n">
        <v>37131</v>
      </c>
      <c r="D18" s="6" t="n">
        <f aca="false">B18+C18</f>
        <v>34636</v>
      </c>
      <c r="E18" s="7" t="n">
        <f aca="false">D18/750000</f>
        <v>0.0461813333333333</v>
      </c>
      <c r="F18" s="6" t="n">
        <f aca="false">F17+D18</f>
        <v>279798</v>
      </c>
    </row>
    <row r="19" customFormat="false" ht="15" hidden="false" customHeight="false" outlineLevel="0" collapsed="false">
      <c r="A19" s="5" t="s">
        <v>44</v>
      </c>
      <c r="B19" s="6" t="n">
        <v>-2422</v>
      </c>
      <c r="C19" s="6" t="n">
        <v>23028</v>
      </c>
      <c r="D19" s="6" t="n">
        <f aca="false">B19+C19</f>
        <v>20606</v>
      </c>
      <c r="E19" s="7" t="n">
        <f aca="false">D19/750000</f>
        <v>0.0274746666666667</v>
      </c>
      <c r="F19" s="6" t="n">
        <f aca="false">F18+D19</f>
        <v>300404</v>
      </c>
    </row>
    <row r="20" customFormat="false" ht="15" hidden="false" customHeight="false" outlineLevel="0" collapsed="false">
      <c r="A20" s="5" t="s">
        <v>45</v>
      </c>
      <c r="B20" s="6" t="n">
        <v>-7584</v>
      </c>
      <c r="C20" s="6" t="n">
        <v>14391</v>
      </c>
      <c r="D20" s="6" t="n">
        <f aca="false">B20+C20</f>
        <v>6807</v>
      </c>
      <c r="E20" s="7" t="n">
        <f aca="false">D20/750000</f>
        <v>0.009076</v>
      </c>
      <c r="F20" s="6" t="n">
        <f aca="false">F19+D20</f>
        <v>307211</v>
      </c>
    </row>
    <row r="21" customFormat="false" ht="15" hidden="false" customHeight="false" outlineLevel="0" collapsed="false">
      <c r="A21" s="5" t="s">
        <v>46</v>
      </c>
      <c r="B21" s="6" t="n">
        <v>-571</v>
      </c>
      <c r="C21" s="6" t="n">
        <v>0</v>
      </c>
      <c r="D21" s="6" t="n">
        <f aca="false">B21+C21</f>
        <v>-571</v>
      </c>
      <c r="E21" s="7" t="n">
        <f aca="false">D21/750000</f>
        <v>-0.000761333333333333</v>
      </c>
      <c r="F21" s="6" t="n">
        <f aca="false">F20+D21</f>
        <v>306640</v>
      </c>
    </row>
    <row r="22" customFormat="false" ht="15" hidden="false" customHeight="false" outlineLevel="0" collapsed="false">
      <c r="A22" s="5" t="s">
        <v>47</v>
      </c>
      <c r="B22" s="6" t="n">
        <v>13096</v>
      </c>
      <c r="C22" s="6" t="n">
        <v>16945</v>
      </c>
      <c r="D22" s="6" t="n">
        <f aca="false">B22+C22</f>
        <v>30041</v>
      </c>
      <c r="E22" s="7" t="n">
        <f aca="false">D22/750000</f>
        <v>0.0400546666666667</v>
      </c>
      <c r="F22" s="6" t="n">
        <f aca="false">F21+D22</f>
        <v>336681</v>
      </c>
    </row>
    <row r="23" customFormat="false" ht="15" hidden="false" customHeight="false" outlineLevel="0" collapsed="false">
      <c r="A23" s="5" t="s">
        <v>48</v>
      </c>
      <c r="B23" s="6" t="n">
        <v>-16283</v>
      </c>
      <c r="C23" s="6" t="n">
        <v>9599</v>
      </c>
      <c r="D23" s="6" t="n">
        <f aca="false">B23+C23</f>
        <v>-6684</v>
      </c>
      <c r="E23" s="7" t="n">
        <f aca="false">D23/750000</f>
        <v>-0.008912</v>
      </c>
      <c r="F23" s="6" t="n">
        <f aca="false">F22+D23</f>
        <v>329997</v>
      </c>
    </row>
    <row r="24" customFormat="false" ht="15" hidden="false" customHeight="false" outlineLevel="0" collapsed="false">
      <c r="A24" s="5" t="s">
        <v>49</v>
      </c>
      <c r="B24" s="6" t="n">
        <v>-1808</v>
      </c>
      <c r="C24" s="6" t="n">
        <v>0</v>
      </c>
      <c r="D24" s="6" t="n">
        <f aca="false">B24+C24</f>
        <v>-1808</v>
      </c>
      <c r="E24" s="7" t="n">
        <f aca="false">D24/750000</f>
        <v>-0.00241066666666667</v>
      </c>
      <c r="F24" s="6" t="n">
        <f aca="false">F23+D24</f>
        <v>328189</v>
      </c>
    </row>
    <row r="25" customFormat="false" ht="15" hidden="false" customHeight="false" outlineLevel="0" collapsed="false">
      <c r="A25" s="5" t="s">
        <v>50</v>
      </c>
      <c r="B25" s="6" t="n">
        <v>-7320</v>
      </c>
      <c r="C25" s="6" t="n">
        <v>8252</v>
      </c>
      <c r="D25" s="6" t="n">
        <f aca="false">B25+C25</f>
        <v>932</v>
      </c>
      <c r="E25" s="7" t="n">
        <f aca="false">D25/750000</f>
        <v>0.00124266666666667</v>
      </c>
      <c r="F25" s="6" t="n">
        <f aca="false">F24+D25</f>
        <v>329121</v>
      </c>
    </row>
    <row r="26" customFormat="false" ht="15" hidden="false" customHeight="false" outlineLevel="0" collapsed="false">
      <c r="A26" s="5" t="s">
        <v>51</v>
      </c>
      <c r="B26" s="6" t="n">
        <v>4037</v>
      </c>
      <c r="C26" s="6" t="n">
        <v>-5160</v>
      </c>
      <c r="D26" s="6" t="n">
        <f aca="false">B26+C26</f>
        <v>-1123</v>
      </c>
      <c r="E26" s="7" t="n">
        <f aca="false">D26/750000</f>
        <v>-0.00149733333333333</v>
      </c>
      <c r="F26" s="6" t="n">
        <f aca="false">F25+D26</f>
        <v>327998</v>
      </c>
    </row>
    <row r="27" customFormat="false" ht="15" hidden="false" customHeight="false" outlineLevel="0" collapsed="false">
      <c r="A27" s="5" t="s">
        <v>52</v>
      </c>
      <c r="B27" s="6" t="n">
        <v>-14597</v>
      </c>
      <c r="C27" s="6" t="n">
        <v>3880</v>
      </c>
      <c r="D27" s="6" t="n">
        <f aca="false">B27+C27</f>
        <v>-10717</v>
      </c>
      <c r="E27" s="7" t="n">
        <f aca="false">D27/750000</f>
        <v>-0.0142893333333333</v>
      </c>
      <c r="F27" s="6" t="n">
        <f aca="false">F26+D27</f>
        <v>317281</v>
      </c>
    </row>
    <row r="28" customFormat="false" ht="15" hidden="false" customHeight="false" outlineLevel="0" collapsed="false">
      <c r="A28" s="5" t="s">
        <v>53</v>
      </c>
      <c r="B28" s="6" t="n">
        <v>-7152</v>
      </c>
      <c r="C28" s="6" t="n">
        <v>-4624</v>
      </c>
      <c r="D28" s="6" t="n">
        <f aca="false">B28+C28</f>
        <v>-11776</v>
      </c>
      <c r="E28" s="7" t="n">
        <f aca="false">D28/750000</f>
        <v>-0.0157013333333333</v>
      </c>
      <c r="F28" s="6" t="n">
        <f aca="false">F27+D28</f>
        <v>305505</v>
      </c>
    </row>
    <row r="29" customFormat="false" ht="15" hidden="false" customHeight="false" outlineLevel="0" collapsed="false">
      <c r="A29" s="5" t="s">
        <v>54</v>
      </c>
      <c r="B29" s="6" t="n">
        <v>25713</v>
      </c>
      <c r="C29" s="6" t="n">
        <v>12876</v>
      </c>
      <c r="D29" s="6" t="n">
        <f aca="false">B29+C29</f>
        <v>38589</v>
      </c>
      <c r="E29" s="7" t="n">
        <f aca="false">D29/750000</f>
        <v>0.051452</v>
      </c>
      <c r="F29" s="6" t="n">
        <f aca="false">F28+D29</f>
        <v>344094</v>
      </c>
    </row>
    <row r="30" customFormat="false" ht="15" hidden="false" customHeight="false" outlineLevel="0" collapsed="false">
      <c r="A30" s="5" t="s">
        <v>55</v>
      </c>
      <c r="B30" s="6" t="n">
        <v>18268</v>
      </c>
      <c r="C30" s="6" t="n">
        <v>29364</v>
      </c>
      <c r="D30" s="6" t="n">
        <f aca="false">B30+C30</f>
        <v>47632</v>
      </c>
      <c r="E30" s="7" t="n">
        <f aca="false">D30/750000</f>
        <v>0.0635093333333333</v>
      </c>
      <c r="F30" s="6" t="n">
        <f aca="false">F29+D30</f>
        <v>391726</v>
      </c>
    </row>
    <row r="31" customFormat="false" ht="15" hidden="false" customHeight="false" outlineLevel="0" collapsed="false">
      <c r="A31" s="5" t="s">
        <v>56</v>
      </c>
      <c r="B31" s="6" t="n">
        <v>-13279</v>
      </c>
      <c r="C31" s="6" t="n">
        <v>30735</v>
      </c>
      <c r="D31" s="6" t="n">
        <f aca="false">B31+C31</f>
        <v>17456</v>
      </c>
      <c r="E31" s="7" t="n">
        <f aca="false">D31/750000</f>
        <v>0.0232746666666667</v>
      </c>
      <c r="F31" s="6" t="n">
        <f aca="false">F30+D31</f>
        <v>409182</v>
      </c>
    </row>
    <row r="32" customFormat="false" ht="15" hidden="false" customHeight="false" outlineLevel="0" collapsed="false">
      <c r="A32" s="5" t="s">
        <v>57</v>
      </c>
      <c r="B32" s="6" t="n">
        <v>-2935</v>
      </c>
      <c r="C32" s="6" t="n">
        <v>57060</v>
      </c>
      <c r="D32" s="6" t="n">
        <f aca="false">B32+C32</f>
        <v>54125</v>
      </c>
      <c r="E32" s="7" t="n">
        <f aca="false">D32/750000</f>
        <v>0.0721666666666667</v>
      </c>
      <c r="F32" s="6" t="n">
        <f aca="false">F31+D32</f>
        <v>463307</v>
      </c>
    </row>
    <row r="33" customFormat="false" ht="15" hidden="false" customHeight="false" outlineLevel="0" collapsed="false">
      <c r="A33" s="5" t="s">
        <v>58</v>
      </c>
      <c r="B33" s="6" t="n">
        <v>13628</v>
      </c>
      <c r="C33" s="6" t="n">
        <v>51861</v>
      </c>
      <c r="D33" s="6" t="n">
        <f aca="false">B33+C33</f>
        <v>65489</v>
      </c>
      <c r="E33" s="7" t="n">
        <f aca="false">D33/750000</f>
        <v>0.0873186666666667</v>
      </c>
      <c r="F33" s="6" t="n">
        <f aca="false">F32+D33</f>
        <v>528796</v>
      </c>
    </row>
    <row r="34" customFormat="false" ht="15" hidden="false" customHeight="false" outlineLevel="0" collapsed="false">
      <c r="A34" s="5" t="s">
        <v>59</v>
      </c>
      <c r="B34" s="6" t="n">
        <v>81759</v>
      </c>
      <c r="C34" s="6" t="n">
        <v>4320</v>
      </c>
      <c r="D34" s="6" t="n">
        <f aca="false">B34+C34</f>
        <v>86079</v>
      </c>
      <c r="E34" s="7" t="n">
        <f aca="false">D34/750000</f>
        <v>0.114772</v>
      </c>
      <c r="F34" s="6" t="n">
        <f aca="false">F33+D34</f>
        <v>614875</v>
      </c>
    </row>
    <row r="35" customFormat="false" ht="15" hidden="false" customHeight="false" outlineLevel="0" collapsed="false">
      <c r="A35" s="5" t="s">
        <v>60</v>
      </c>
      <c r="B35" s="6" t="n">
        <v>44116</v>
      </c>
      <c r="C35" s="6" t="n">
        <v>24169</v>
      </c>
      <c r="D35" s="6" t="n">
        <f aca="false">B35+C35</f>
        <v>68285</v>
      </c>
      <c r="E35" s="7" t="n">
        <f aca="false">D35/750000</f>
        <v>0.0910466666666667</v>
      </c>
      <c r="F35" s="6" t="n">
        <f aca="false">F34+D35</f>
        <v>683160</v>
      </c>
    </row>
    <row r="36" customFormat="false" ht="15" hidden="false" customHeight="false" outlineLevel="0" collapsed="false">
      <c r="A36" s="5" t="s">
        <v>61</v>
      </c>
      <c r="B36" s="6" t="n">
        <v>-3822</v>
      </c>
      <c r="C36" s="6" t="n">
        <v>11182</v>
      </c>
      <c r="D36" s="6" t="n">
        <f aca="false">B36+C36</f>
        <v>7360</v>
      </c>
      <c r="E36" s="7" t="n">
        <f aca="false">D36/750000</f>
        <v>0.00981333333333333</v>
      </c>
      <c r="F36" s="6" t="n">
        <f aca="false">F35+D36</f>
        <v>690520</v>
      </c>
    </row>
    <row r="37" customFormat="false" ht="15" hidden="false" customHeight="false" outlineLevel="0" collapsed="false">
      <c r="A37" s="5" t="s">
        <v>62</v>
      </c>
      <c r="B37" s="6" t="n">
        <v>-698</v>
      </c>
      <c r="C37" s="6" t="n">
        <v>16559</v>
      </c>
      <c r="D37" s="6" t="n">
        <f aca="false">B37+C37</f>
        <v>15861</v>
      </c>
      <c r="E37" s="7" t="n">
        <f aca="false">D37/750000</f>
        <v>0.021148</v>
      </c>
      <c r="F37" s="6" t="n">
        <f aca="false">F36+D37</f>
        <v>706381</v>
      </c>
    </row>
    <row r="38" customFormat="false" ht="15" hidden="false" customHeight="false" outlineLevel="0" collapsed="false">
      <c r="A38" s="5" t="s">
        <v>63</v>
      </c>
      <c r="B38" s="6" t="n">
        <v>4816</v>
      </c>
      <c r="C38" s="6" t="n">
        <v>4498</v>
      </c>
      <c r="D38" s="6" t="n">
        <f aca="false">B38+C38</f>
        <v>9314</v>
      </c>
      <c r="E38" s="7" t="n">
        <f aca="false">D38/750000</f>
        <v>0.0124186666666667</v>
      </c>
      <c r="F38" s="6" t="n">
        <f aca="false">F37+D38</f>
        <v>715695</v>
      </c>
    </row>
    <row r="39" customFormat="false" ht="15" hidden="false" customHeight="false" outlineLevel="0" collapsed="false">
      <c r="A39" s="5" t="s">
        <v>64</v>
      </c>
      <c r="B39" s="6" t="n">
        <v>10684</v>
      </c>
      <c r="C39" s="6" t="n">
        <v>1064</v>
      </c>
      <c r="D39" s="6" t="n">
        <f aca="false">B39+C39</f>
        <v>11748</v>
      </c>
      <c r="E39" s="7" t="n">
        <f aca="false">D39/750000</f>
        <v>0.015664</v>
      </c>
      <c r="F39" s="6" t="n">
        <f aca="false">F38+D39</f>
        <v>727443</v>
      </c>
    </row>
    <row r="40" customFormat="false" ht="15" hidden="false" customHeight="false" outlineLevel="0" collapsed="false">
      <c r="A40" s="5" t="s">
        <v>65</v>
      </c>
      <c r="B40" s="6" t="n">
        <v>-8068</v>
      </c>
      <c r="C40" s="6" t="n">
        <v>17922</v>
      </c>
      <c r="D40" s="6" t="n">
        <f aca="false">B40+C40</f>
        <v>9854</v>
      </c>
      <c r="E40" s="7" t="n">
        <f aca="false">D40/750000</f>
        <v>0.0131386666666667</v>
      </c>
      <c r="F40" s="6" t="n">
        <f aca="false">F39+D40</f>
        <v>737297</v>
      </c>
    </row>
    <row r="41" customFormat="false" ht="15" hidden="false" customHeight="false" outlineLevel="0" collapsed="false">
      <c r="A41" s="5" t="s">
        <v>66</v>
      </c>
      <c r="B41" s="6" t="n">
        <v>11318</v>
      </c>
      <c r="C41" s="6" t="n">
        <v>8832</v>
      </c>
      <c r="D41" s="6" t="n">
        <f aca="false">B41+C41</f>
        <v>20150</v>
      </c>
      <c r="E41" s="7" t="n">
        <f aca="false">D41/750000</f>
        <v>0.0268666666666667</v>
      </c>
      <c r="F41" s="6" t="n">
        <f aca="false">F40+D41</f>
        <v>757447</v>
      </c>
    </row>
    <row r="42" customFormat="false" ht="15" hidden="false" customHeight="false" outlineLevel="0" collapsed="false">
      <c r="A42" s="5" t="s">
        <v>67</v>
      </c>
      <c r="B42" s="6" t="n">
        <v>15910</v>
      </c>
      <c r="C42" s="6" t="n">
        <v>914</v>
      </c>
      <c r="D42" s="6" t="n">
        <f aca="false">B42+C42</f>
        <v>16824</v>
      </c>
      <c r="E42" s="7" t="n">
        <f aca="false">D42/750000</f>
        <v>0.022432</v>
      </c>
      <c r="F42" s="6" t="n">
        <f aca="false">F41+D42</f>
        <v>774271</v>
      </c>
    </row>
    <row r="43" customFormat="false" ht="15" hidden="false" customHeight="false" outlineLevel="0" collapsed="false">
      <c r="A43" s="5" t="s">
        <v>68</v>
      </c>
      <c r="B43" s="6" t="n">
        <v>-19377</v>
      </c>
      <c r="C43" s="6" t="n">
        <v>26624</v>
      </c>
      <c r="D43" s="6" t="n">
        <f aca="false">B43+C43</f>
        <v>7247</v>
      </c>
      <c r="E43" s="7" t="n">
        <f aca="false">D43/750000</f>
        <v>0.00966266666666667</v>
      </c>
      <c r="F43" s="6" t="n">
        <f aca="false">F42+D43</f>
        <v>781518</v>
      </c>
    </row>
    <row r="44" customFormat="false" ht="15" hidden="false" customHeight="false" outlineLevel="0" collapsed="false">
      <c r="A44" s="5" t="s">
        <v>69</v>
      </c>
      <c r="B44" s="6" t="n">
        <v>58643</v>
      </c>
      <c r="C44" s="6" t="n">
        <v>-3543</v>
      </c>
      <c r="D44" s="6" t="n">
        <f aca="false">B44+C44</f>
        <v>55100</v>
      </c>
      <c r="E44" s="7" t="n">
        <f aca="false">D44/750000</f>
        <v>0.0734666666666667</v>
      </c>
      <c r="F44" s="6" t="n">
        <f aca="false">F43+D44</f>
        <v>836618</v>
      </c>
    </row>
    <row r="45" customFormat="false" ht="15" hidden="false" customHeight="false" outlineLevel="0" collapsed="false">
      <c r="A45" s="5" t="s">
        <v>70</v>
      </c>
      <c r="B45" s="6" t="n">
        <v>24256</v>
      </c>
      <c r="C45" s="6" t="n">
        <v>28960</v>
      </c>
      <c r="D45" s="6" t="n">
        <f aca="false">B45+C45</f>
        <v>53216</v>
      </c>
      <c r="E45" s="7" t="n">
        <f aca="false">D45/750000</f>
        <v>0.0709546666666667</v>
      </c>
      <c r="F45" s="6" t="n">
        <f aca="false">F44+D45</f>
        <v>889834</v>
      </c>
    </row>
    <row r="46" customFormat="false" ht="15" hidden="false" customHeight="false" outlineLevel="0" collapsed="false">
      <c r="A46" s="5" t="s">
        <v>71</v>
      </c>
      <c r="B46" s="6" t="n">
        <v>-12880</v>
      </c>
      <c r="C46" s="6" t="n">
        <v>38064</v>
      </c>
      <c r="D46" s="6" t="n">
        <f aca="false">B46+C46</f>
        <v>25184</v>
      </c>
      <c r="E46" s="7" t="n">
        <f aca="false">D46/750000</f>
        <v>0.0335786666666667</v>
      </c>
      <c r="F46" s="6" t="n">
        <f aca="false">F45+D46</f>
        <v>915018</v>
      </c>
    </row>
    <row r="47" customFormat="false" ht="15" hidden="false" customHeight="false" outlineLevel="0" collapsed="false">
      <c r="A47" s="5" t="s">
        <v>72</v>
      </c>
      <c r="B47" s="6" t="n">
        <v>13443</v>
      </c>
      <c r="C47" s="6" t="n">
        <v>1730</v>
      </c>
      <c r="D47" s="6" t="n">
        <f aca="false">B47+C47</f>
        <v>15173</v>
      </c>
      <c r="E47" s="7" t="n">
        <f aca="false">D47/750000</f>
        <v>0.0202306666666667</v>
      </c>
      <c r="F47" s="6" t="n">
        <f aca="false">F46+D47</f>
        <v>930191</v>
      </c>
    </row>
    <row r="48" customFormat="false" ht="15" hidden="false" customHeight="false" outlineLevel="0" collapsed="false">
      <c r="A48" s="5" t="s">
        <v>73</v>
      </c>
      <c r="B48" s="6" t="n">
        <v>-18120</v>
      </c>
      <c r="C48" s="6" t="n">
        <v>39339</v>
      </c>
      <c r="D48" s="6" t="n">
        <f aca="false">B48+C48</f>
        <v>21219</v>
      </c>
      <c r="E48" s="7" t="n">
        <f aca="false">D48/750000</f>
        <v>0.028292</v>
      </c>
      <c r="F48" s="6" t="n">
        <f aca="false">F47+D48</f>
        <v>951410</v>
      </c>
    </row>
    <row r="49" customFormat="false" ht="15" hidden="false" customHeight="false" outlineLevel="0" collapsed="false">
      <c r="A49" s="5" t="s">
        <v>74</v>
      </c>
      <c r="B49" s="6" t="n">
        <v>19800</v>
      </c>
      <c r="C49" s="6" t="n">
        <v>-6261</v>
      </c>
      <c r="D49" s="6" t="n">
        <f aca="false">B49+C49</f>
        <v>13539</v>
      </c>
      <c r="E49" s="7" t="n">
        <f aca="false">D49/750000</f>
        <v>0.018052</v>
      </c>
      <c r="F49" s="6" t="n">
        <f aca="false">F48+D49</f>
        <v>964949</v>
      </c>
    </row>
    <row r="50" customFormat="false" ht="15" hidden="false" customHeight="false" outlineLevel="0" collapsed="false">
      <c r="A50" s="5" t="s">
        <v>75</v>
      </c>
      <c r="B50" s="6" t="n">
        <v>11463</v>
      </c>
      <c r="C50" s="6" t="n">
        <v>12558</v>
      </c>
      <c r="D50" s="6" t="n">
        <f aca="false">B50+C50</f>
        <v>24021</v>
      </c>
      <c r="E50" s="7" t="n">
        <f aca="false">D50/750000</f>
        <v>0.032028</v>
      </c>
      <c r="F50" s="6" t="n">
        <f aca="false">F49+D50</f>
        <v>988970</v>
      </c>
    </row>
    <row r="51" customFormat="false" ht="15" hidden="false" customHeight="false" outlineLevel="0" collapsed="false">
      <c r="A51" s="5" t="s">
        <v>76</v>
      </c>
      <c r="B51" s="6" t="n">
        <v>12824</v>
      </c>
      <c r="C51" s="6" t="n">
        <v>-14707</v>
      </c>
      <c r="D51" s="6" t="n">
        <f aca="false">B51+C51</f>
        <v>-1883</v>
      </c>
      <c r="E51" s="7" t="n">
        <f aca="false">D51/750000</f>
        <v>-0.00251066666666667</v>
      </c>
      <c r="F51" s="6" t="n">
        <f aca="false">F50+D51</f>
        <v>987087</v>
      </c>
    </row>
    <row r="52" customFormat="false" ht="15" hidden="false" customHeight="false" outlineLevel="0" collapsed="false">
      <c r="A52" s="5" t="s">
        <v>77</v>
      </c>
      <c r="B52" s="6" t="n">
        <v>-19429</v>
      </c>
      <c r="C52" s="6" t="n">
        <v>2299</v>
      </c>
      <c r="D52" s="6" t="n">
        <f aca="false">B52+C52</f>
        <v>-17130</v>
      </c>
      <c r="E52" s="7" t="n">
        <f aca="false">D52/750000</f>
        <v>-0.02284</v>
      </c>
      <c r="F52" s="6" t="n">
        <f aca="false">F51+D52</f>
        <v>969957</v>
      </c>
    </row>
    <row r="53" customFormat="false" ht="15" hidden="false" customHeight="false" outlineLevel="0" collapsed="false">
      <c r="A53" s="5" t="s">
        <v>78</v>
      </c>
      <c r="B53" s="6" t="n">
        <v>4153</v>
      </c>
      <c r="C53" s="6" t="n">
        <v>-6860</v>
      </c>
      <c r="D53" s="6" t="n">
        <f aca="false">B53+C53</f>
        <v>-2707</v>
      </c>
      <c r="E53" s="7" t="n">
        <f aca="false">D53/750000</f>
        <v>-0.00360933333333333</v>
      </c>
      <c r="F53" s="6" t="n">
        <f aca="false">F52+D53</f>
        <v>967250</v>
      </c>
    </row>
    <row r="54" customFormat="false" ht="15" hidden="false" customHeight="false" outlineLevel="0" collapsed="false">
      <c r="A54" s="5" t="s">
        <v>79</v>
      </c>
      <c r="B54" s="6" t="n">
        <v>13184</v>
      </c>
      <c r="C54" s="6" t="n">
        <v>14751</v>
      </c>
      <c r="D54" s="6" t="n">
        <f aca="false">B54+C54</f>
        <v>27935</v>
      </c>
      <c r="E54" s="7" t="n">
        <f aca="false">D54/750000</f>
        <v>0.0372466666666667</v>
      </c>
      <c r="F54" s="6" t="n">
        <f aca="false">F53+D54</f>
        <v>995185</v>
      </c>
    </row>
    <row r="55" customFormat="false" ht="15" hidden="false" customHeight="false" outlineLevel="0" collapsed="false">
      <c r="A55" s="5" t="s">
        <v>80</v>
      </c>
      <c r="B55" s="6" t="n">
        <v>22366</v>
      </c>
      <c r="C55" s="6" t="n">
        <v>0</v>
      </c>
      <c r="D55" s="6" t="n">
        <f aca="false">B55+C55</f>
        <v>22366</v>
      </c>
      <c r="E55" s="7" t="n">
        <f aca="false">D55/750000</f>
        <v>0.0298213333333333</v>
      </c>
      <c r="F55" s="6" t="n">
        <f aca="false">F54+D55</f>
        <v>1017551</v>
      </c>
    </row>
    <row r="56" customFormat="false" ht="15" hidden="false" customHeight="false" outlineLevel="0" collapsed="false">
      <c r="A56" s="5" t="s">
        <v>81</v>
      </c>
      <c r="B56" s="6" t="n">
        <v>37077</v>
      </c>
      <c r="C56" s="6" t="n">
        <v>13429</v>
      </c>
      <c r="D56" s="6" t="n">
        <f aca="false">B56+C56</f>
        <v>50506</v>
      </c>
      <c r="E56" s="7" t="n">
        <f aca="false">D56/750000</f>
        <v>0.0673413333333333</v>
      </c>
      <c r="F56" s="6" t="n">
        <f aca="false">F55+D56</f>
        <v>1068057</v>
      </c>
    </row>
    <row r="57" customFormat="false" ht="15" hidden="false" customHeight="false" outlineLevel="0" collapsed="false">
      <c r="A57" s="5" t="s">
        <v>82</v>
      </c>
      <c r="B57" s="6" t="n">
        <v>4732</v>
      </c>
      <c r="C57" s="6" t="n">
        <v>0</v>
      </c>
      <c r="D57" s="6" t="n">
        <f aca="false">B57+C57</f>
        <v>4732</v>
      </c>
      <c r="E57" s="7" t="n">
        <f aca="false">D57/750000</f>
        <v>0.00630933333333333</v>
      </c>
      <c r="F57" s="6" t="n">
        <f aca="false">F56+D57</f>
        <v>1072789</v>
      </c>
    </row>
    <row r="58" customFormat="false" ht="15" hidden="false" customHeight="false" outlineLevel="0" collapsed="false">
      <c r="A58" s="5" t="s">
        <v>83</v>
      </c>
      <c r="B58" s="6" t="n">
        <v>51736</v>
      </c>
      <c r="C58" s="6" t="n">
        <v>-16050</v>
      </c>
      <c r="D58" s="6" t="n">
        <f aca="false">B58+C58</f>
        <v>35686</v>
      </c>
      <c r="E58" s="7" t="n">
        <f aca="false">D58/750000</f>
        <v>0.0475813333333333</v>
      </c>
      <c r="F58" s="6" t="n">
        <f aca="false">F57+D58</f>
        <v>1108475</v>
      </c>
    </row>
    <row r="59" customFormat="false" ht="15" hidden="false" customHeight="false" outlineLevel="0" collapsed="false">
      <c r="A59" s="5" t="s">
        <v>84</v>
      </c>
      <c r="B59" s="6" t="n">
        <v>-5717</v>
      </c>
      <c r="C59" s="6" t="n">
        <v>6949</v>
      </c>
      <c r="D59" s="6" t="n">
        <f aca="false">B59+C59</f>
        <v>1232</v>
      </c>
      <c r="E59" s="7" t="n">
        <f aca="false">D59/750000</f>
        <v>0.00164266666666667</v>
      </c>
      <c r="F59" s="6" t="n">
        <f aca="false">F58+D59</f>
        <v>1109707</v>
      </c>
    </row>
    <row r="60" customFormat="false" ht="15" hidden="false" customHeight="false" outlineLevel="0" collapsed="false">
      <c r="A60" s="5" t="s">
        <v>85</v>
      </c>
      <c r="B60" s="6" t="n">
        <v>-24354</v>
      </c>
      <c r="C60" s="6" t="n">
        <v>3557</v>
      </c>
      <c r="D60" s="6" t="n">
        <f aca="false">B60+C60</f>
        <v>-20797</v>
      </c>
      <c r="E60" s="7" t="n">
        <f aca="false">D60/750000</f>
        <v>-0.0277293333333333</v>
      </c>
      <c r="F60" s="6" t="n">
        <f aca="false">F59+D60</f>
        <v>1088910</v>
      </c>
    </row>
    <row r="61" customFormat="false" ht="15" hidden="false" customHeight="false" outlineLevel="0" collapsed="false">
      <c r="A61" s="5" t="s">
        <v>86</v>
      </c>
      <c r="B61" s="6" t="n">
        <v>5622</v>
      </c>
      <c r="C61" s="6" t="n">
        <v>9900</v>
      </c>
      <c r="D61" s="6" t="n">
        <f aca="false">B61+C61</f>
        <v>15522</v>
      </c>
      <c r="E61" s="7" t="n">
        <f aca="false">D61/750000</f>
        <v>0.020696</v>
      </c>
      <c r="F61" s="6" t="n">
        <f aca="false">F60+D61</f>
        <v>1104432</v>
      </c>
    </row>
    <row r="62" customFormat="false" ht="15" hidden="false" customHeight="false" outlineLevel="0" collapsed="false">
      <c r="A62" s="5" t="s">
        <v>87</v>
      </c>
      <c r="B62" s="6" t="n">
        <v>26214</v>
      </c>
      <c r="C62" s="6" t="n">
        <v>-5778</v>
      </c>
      <c r="D62" s="6" t="n">
        <f aca="false">B62+C62</f>
        <v>20436</v>
      </c>
      <c r="E62" s="7" t="n">
        <f aca="false">D62/750000</f>
        <v>0.027248</v>
      </c>
      <c r="F62" s="6" t="n">
        <f aca="false">F61+D62</f>
        <v>1124868</v>
      </c>
    </row>
    <row r="63" customFormat="false" ht="15" hidden="false" customHeight="false" outlineLevel="0" collapsed="false">
      <c r="A63" s="5" t="s">
        <v>88</v>
      </c>
      <c r="B63" s="6" t="n">
        <v>14088</v>
      </c>
      <c r="C63" s="6" t="n">
        <v>13930</v>
      </c>
      <c r="D63" s="6" t="n">
        <f aca="false">B63+C63</f>
        <v>28018</v>
      </c>
      <c r="E63" s="7" t="n">
        <f aca="false">D63/750000</f>
        <v>0.0373573333333333</v>
      </c>
      <c r="F63" s="6" t="n">
        <f aca="false">F62+D63</f>
        <v>1152886</v>
      </c>
    </row>
    <row r="64" customFormat="false" ht="15" hidden="false" customHeight="false" outlineLevel="0" collapsed="false">
      <c r="A64" s="5" t="s">
        <v>89</v>
      </c>
      <c r="B64" s="6" t="n">
        <v>21500</v>
      </c>
      <c r="C64" s="6" t="n">
        <v>-15476</v>
      </c>
      <c r="D64" s="6" t="n">
        <f aca="false">B64+C64</f>
        <v>6024</v>
      </c>
      <c r="E64" s="7" t="n">
        <f aca="false">D64/750000</f>
        <v>0.008032</v>
      </c>
      <c r="F64" s="6" t="n">
        <f aca="false">F63+D64</f>
        <v>1158910</v>
      </c>
    </row>
    <row r="65" customFormat="false" ht="15" hidden="false" customHeight="false" outlineLevel="0" collapsed="false">
      <c r="A65" s="5" t="s">
        <v>90</v>
      </c>
      <c r="B65" s="6" t="n">
        <v>3322</v>
      </c>
      <c r="C65" s="6" t="n">
        <v>24488</v>
      </c>
      <c r="D65" s="6" t="n">
        <f aca="false">B65+C65</f>
        <v>27810</v>
      </c>
      <c r="E65" s="7" t="n">
        <f aca="false">D65/750000</f>
        <v>0.03708</v>
      </c>
      <c r="F65" s="6" t="n">
        <f aca="false">F64+D65</f>
        <v>1186720</v>
      </c>
    </row>
    <row r="66" customFormat="false" ht="15" hidden="false" customHeight="false" outlineLevel="0" collapsed="false">
      <c r="A66" s="5" t="s">
        <v>91</v>
      </c>
      <c r="B66" s="6" t="n">
        <v>22584</v>
      </c>
      <c r="C66" s="6" t="n">
        <v>9819</v>
      </c>
      <c r="D66" s="6" t="n">
        <f aca="false">B66+C66</f>
        <v>32403</v>
      </c>
      <c r="E66" s="7" t="n">
        <f aca="false">D66/750000</f>
        <v>0.043204</v>
      </c>
      <c r="F66" s="6" t="n">
        <f aca="false">F65+D66</f>
        <v>1219123</v>
      </c>
    </row>
    <row r="67" customFormat="false" ht="15" hidden="false" customHeight="false" outlineLevel="0" collapsed="false">
      <c r="A67" s="5" t="s">
        <v>92</v>
      </c>
      <c r="B67" s="6" t="n">
        <v>11130</v>
      </c>
      <c r="C67" s="6" t="n">
        <v>-21074</v>
      </c>
      <c r="D67" s="6" t="n">
        <f aca="false">B67+C67</f>
        <v>-9944</v>
      </c>
      <c r="E67" s="7" t="n">
        <f aca="false">D67/750000</f>
        <v>-0.0132586666666667</v>
      </c>
      <c r="F67" s="6" t="n">
        <f aca="false">F66+D67</f>
        <v>1209179</v>
      </c>
    </row>
    <row r="68" customFormat="false" ht="15" hidden="false" customHeight="false" outlineLevel="0" collapsed="false">
      <c r="A68" s="5" t="s">
        <v>93</v>
      </c>
      <c r="B68" s="6" t="n">
        <v>43786</v>
      </c>
      <c r="C68" s="6" t="n">
        <v>14585</v>
      </c>
      <c r="D68" s="6" t="n">
        <f aca="false">B68+C68</f>
        <v>58371</v>
      </c>
      <c r="E68" s="7" t="n">
        <f aca="false">D68/750000</f>
        <v>0.077828</v>
      </c>
      <c r="F68" s="6" t="n">
        <f aca="false">F67+D68</f>
        <v>1267550</v>
      </c>
    </row>
    <row r="69" customFormat="false" ht="15" hidden="false" customHeight="false" outlineLevel="0" collapsed="false">
      <c r="A69" s="5" t="s">
        <v>94</v>
      </c>
      <c r="B69" s="6" t="n">
        <v>16707</v>
      </c>
      <c r="C69" s="6" t="n">
        <v>-13938</v>
      </c>
      <c r="D69" s="6" t="n">
        <f aca="false">B69+C69</f>
        <v>2769</v>
      </c>
      <c r="E69" s="7" t="n">
        <f aca="false">D69/750000</f>
        <v>0.003692</v>
      </c>
      <c r="F69" s="6" t="n">
        <f aca="false">F68+D69</f>
        <v>1270319</v>
      </c>
    </row>
    <row r="70" customFormat="false" ht="15" hidden="false" customHeight="false" outlineLevel="0" collapsed="false">
      <c r="A70" s="5" t="s">
        <v>95</v>
      </c>
      <c r="B70" s="6" t="n">
        <v>-5989</v>
      </c>
      <c r="C70" s="6" t="n">
        <v>16731</v>
      </c>
      <c r="D70" s="6" t="n">
        <f aca="false">B70+C70</f>
        <v>10742</v>
      </c>
      <c r="E70" s="7" t="n">
        <f aca="false">D70/750000</f>
        <v>0.0143226666666667</v>
      </c>
      <c r="F70" s="6" t="n">
        <f aca="false">F69+D70</f>
        <v>1281061</v>
      </c>
    </row>
    <row r="71" customFormat="false" ht="15" hidden="false" customHeight="false" outlineLevel="0" collapsed="false">
      <c r="A71" s="5" t="s">
        <v>96</v>
      </c>
      <c r="B71" s="6" t="n">
        <v>35899</v>
      </c>
      <c r="C71" s="6" t="n">
        <v>-4428</v>
      </c>
      <c r="D71" s="6" t="n">
        <f aca="false">B71+C71</f>
        <v>31471</v>
      </c>
      <c r="E71" s="7" t="n">
        <f aca="false">D71/750000</f>
        <v>0.0419613333333333</v>
      </c>
      <c r="F71" s="6" t="n">
        <f aca="false">F70+D71</f>
        <v>1312532</v>
      </c>
    </row>
    <row r="72" customFormat="false" ht="15" hidden="false" customHeight="false" outlineLevel="0" collapsed="false">
      <c r="A72" s="5" t="s">
        <v>97</v>
      </c>
      <c r="B72" s="6" t="n">
        <v>25114</v>
      </c>
      <c r="C72" s="6" t="n">
        <v>27979</v>
      </c>
      <c r="D72" s="6" t="n">
        <f aca="false">B72+C72</f>
        <v>53093</v>
      </c>
      <c r="E72" s="7" t="n">
        <f aca="false">D72/750000</f>
        <v>0.0707906666666667</v>
      </c>
      <c r="F72" s="6" t="n">
        <f aca="false">F71+D72</f>
        <v>1365625</v>
      </c>
    </row>
    <row r="73" customFormat="false" ht="15" hidden="false" customHeight="false" outlineLevel="0" collapsed="false">
      <c r="A73" s="5" t="s">
        <v>98</v>
      </c>
      <c r="B73" s="6" t="n">
        <v>-7378</v>
      </c>
      <c r="C73" s="6" t="n">
        <v>28599</v>
      </c>
      <c r="D73" s="6" t="n">
        <f aca="false">B73+C73</f>
        <v>21221</v>
      </c>
      <c r="E73" s="7" t="n">
        <f aca="false">D73/750000</f>
        <v>0.0282946666666667</v>
      </c>
      <c r="F73" s="6" t="n">
        <f aca="false">F72+D73</f>
        <v>1386846</v>
      </c>
    </row>
    <row r="74" customFormat="false" ht="15" hidden="false" customHeight="false" outlineLevel="0" collapsed="false">
      <c r="A74" s="5" t="s">
        <v>99</v>
      </c>
      <c r="B74" s="6" t="n">
        <v>-6743</v>
      </c>
      <c r="C74" s="6" t="n">
        <v>12143</v>
      </c>
      <c r="D74" s="6" t="n">
        <f aca="false">B74+C74</f>
        <v>5400</v>
      </c>
      <c r="E74" s="7" t="n">
        <f aca="false">D74/750000</f>
        <v>0.0072</v>
      </c>
      <c r="F74" s="6" t="n">
        <f aca="false">F73+D74</f>
        <v>1392246</v>
      </c>
    </row>
    <row r="75" customFormat="false" ht="15" hidden="false" customHeight="false" outlineLevel="0" collapsed="false">
      <c r="A75" s="5" t="s">
        <v>100</v>
      </c>
      <c r="B75" s="6" t="n">
        <v>-9794</v>
      </c>
      <c r="C75" s="6" t="n">
        <v>1491</v>
      </c>
      <c r="D75" s="6" t="n">
        <f aca="false">B75+C75</f>
        <v>-8303</v>
      </c>
      <c r="E75" s="7" t="n">
        <f aca="false">D75/750000</f>
        <v>-0.0110706666666667</v>
      </c>
      <c r="F75" s="6" t="n">
        <f aca="false">F74+D75</f>
        <v>1383943</v>
      </c>
    </row>
    <row r="76" customFormat="false" ht="15" hidden="false" customHeight="false" outlineLevel="0" collapsed="false">
      <c r="A76" s="5" t="s">
        <v>101</v>
      </c>
      <c r="B76" s="6" t="n">
        <v>27431</v>
      </c>
      <c r="C76" s="6" t="n">
        <v>5971</v>
      </c>
      <c r="D76" s="6" t="n">
        <f aca="false">B76+C76</f>
        <v>33402</v>
      </c>
      <c r="E76" s="7" t="n">
        <f aca="false">D76/750000</f>
        <v>0.044536</v>
      </c>
      <c r="F76" s="6" t="n">
        <f aca="false">F75+D76</f>
        <v>1417345</v>
      </c>
    </row>
    <row r="77" customFormat="false" ht="15" hidden="false" customHeight="false" outlineLevel="0" collapsed="false">
      <c r="A77" s="5" t="s">
        <v>102</v>
      </c>
      <c r="B77" s="6" t="n">
        <v>11766</v>
      </c>
      <c r="C77" s="6" t="n">
        <v>9446</v>
      </c>
      <c r="D77" s="6" t="n">
        <f aca="false">B77+C77</f>
        <v>21212</v>
      </c>
      <c r="E77" s="7" t="n">
        <f aca="false">D77/750000</f>
        <v>0.0282826666666667</v>
      </c>
      <c r="F77" s="6" t="n">
        <f aca="false">F76+D77</f>
        <v>1438557</v>
      </c>
    </row>
    <row r="78" customFormat="false" ht="15" hidden="false" customHeight="false" outlineLevel="0" collapsed="false">
      <c r="A78" s="5" t="s">
        <v>103</v>
      </c>
      <c r="B78" s="6" t="n">
        <v>102396</v>
      </c>
      <c r="C78" s="6" t="n">
        <v>-20655</v>
      </c>
      <c r="D78" s="6" t="n">
        <f aca="false">B78+C78</f>
        <v>81741</v>
      </c>
      <c r="E78" s="7" t="n">
        <f aca="false">D78/750000</f>
        <v>0.108988</v>
      </c>
      <c r="F78" s="6" t="n">
        <f aca="false">F77+D78</f>
        <v>1520298</v>
      </c>
    </row>
    <row r="79" customFormat="false" ht="15" hidden="false" customHeight="false" outlineLevel="0" collapsed="false">
      <c r="A79" s="5" t="s">
        <v>104</v>
      </c>
      <c r="B79" s="6" t="n">
        <v>1384</v>
      </c>
      <c r="C79" s="6" t="n">
        <v>58305</v>
      </c>
      <c r="D79" s="6" t="n">
        <f aca="false">B79+C79</f>
        <v>59689</v>
      </c>
      <c r="E79" s="7" t="n">
        <f aca="false">D79/750000</f>
        <v>0.0795853333333333</v>
      </c>
      <c r="F79" s="6" t="n">
        <f aca="false">F78+D79</f>
        <v>1579987</v>
      </c>
    </row>
    <row r="80" customFormat="false" ht="15" hidden="false" customHeight="false" outlineLevel="0" collapsed="false">
      <c r="A80" s="5" t="s">
        <v>105</v>
      </c>
      <c r="B80" s="6" t="n">
        <v>-612</v>
      </c>
      <c r="C80" s="6" t="n">
        <v>29087</v>
      </c>
      <c r="D80" s="6" t="n">
        <f aca="false">B80+C80</f>
        <v>28475</v>
      </c>
      <c r="E80" s="7" t="n">
        <f aca="false">D80/750000</f>
        <v>0.0379666666666667</v>
      </c>
      <c r="F80" s="6" t="n">
        <f aca="false">F79+D80</f>
        <v>1608462</v>
      </c>
    </row>
    <row r="81" customFormat="false" ht="15" hidden="false" customHeight="false" outlineLevel="0" collapsed="false">
      <c r="A81" s="5" t="s">
        <v>106</v>
      </c>
      <c r="B81" s="6" t="n">
        <v>-14107</v>
      </c>
      <c r="C81" s="6" t="n">
        <v>20635</v>
      </c>
      <c r="D81" s="6" t="n">
        <f aca="false">B81+C81</f>
        <v>6528</v>
      </c>
      <c r="E81" s="7" t="n">
        <f aca="false">D81/750000</f>
        <v>0.008704</v>
      </c>
      <c r="F81" s="6" t="n">
        <f aca="false">F80+D81</f>
        <v>1614990</v>
      </c>
    </row>
    <row r="82" customFormat="false" ht="15" hidden="false" customHeight="false" outlineLevel="0" collapsed="false">
      <c r="A82" s="5" t="s">
        <v>107</v>
      </c>
      <c r="B82" s="6" t="n">
        <v>10086</v>
      </c>
      <c r="C82" s="6" t="n">
        <v>44702</v>
      </c>
      <c r="D82" s="6" t="n">
        <f aca="false">B82+C82</f>
        <v>54788</v>
      </c>
      <c r="E82" s="7" t="n">
        <f aca="false">D82/750000</f>
        <v>0.0730506666666667</v>
      </c>
      <c r="F82" s="6" t="n">
        <f aca="false">F81+D82</f>
        <v>1669778</v>
      </c>
    </row>
    <row r="83" customFormat="false" ht="15" hidden="false" customHeight="false" outlineLevel="0" collapsed="false">
      <c r="A83" s="5" t="s">
        <v>108</v>
      </c>
      <c r="B83" s="6" t="n">
        <v>-3522</v>
      </c>
      <c r="C83" s="6" t="n">
        <v>-19718</v>
      </c>
      <c r="D83" s="6" t="n">
        <f aca="false">B83+C83</f>
        <v>-23240</v>
      </c>
      <c r="E83" s="7" t="n">
        <f aca="false">D83/750000</f>
        <v>-0.0309866666666667</v>
      </c>
      <c r="F83" s="6" t="n">
        <f aca="false">F82+D83</f>
        <v>1646538</v>
      </c>
    </row>
    <row r="84" customFormat="false" ht="15" hidden="false" customHeight="false" outlineLevel="0" collapsed="false">
      <c r="A84" s="5" t="s">
        <v>109</v>
      </c>
      <c r="B84" s="6" t="n">
        <v>13612</v>
      </c>
      <c r="C84" s="6" t="n">
        <v>-8028</v>
      </c>
      <c r="D84" s="6" t="n">
        <f aca="false">B84+C84</f>
        <v>5584</v>
      </c>
      <c r="E84" s="7" t="n">
        <f aca="false">D84/750000</f>
        <v>0.00744533333333333</v>
      </c>
      <c r="F84" s="6" t="n">
        <f aca="false">F83+D84</f>
        <v>1652122</v>
      </c>
    </row>
    <row r="85" customFormat="false" ht="15" hidden="false" customHeight="false" outlineLevel="0" collapsed="false">
      <c r="A85" s="5" t="s">
        <v>110</v>
      </c>
      <c r="B85" s="6" t="n">
        <v>9470</v>
      </c>
      <c r="C85" s="6" t="n">
        <v>-9772</v>
      </c>
      <c r="D85" s="6" t="n">
        <f aca="false">B85+C85</f>
        <v>-302</v>
      </c>
      <c r="E85" s="7" t="n">
        <f aca="false">D85/750000</f>
        <v>-0.000402666666666667</v>
      </c>
      <c r="F85" s="6" t="n">
        <f aca="false">F84+D85</f>
        <v>1651820</v>
      </c>
    </row>
    <row r="86" customFormat="false" ht="15" hidden="false" customHeight="false" outlineLevel="0" collapsed="false">
      <c r="A86" s="5" t="s">
        <v>111</v>
      </c>
      <c r="B86" s="6" t="n">
        <v>11848</v>
      </c>
      <c r="C86" s="6" t="n">
        <v>-2258</v>
      </c>
      <c r="D86" s="6" t="n">
        <f aca="false">B86+C86</f>
        <v>9590</v>
      </c>
      <c r="E86" s="7" t="n">
        <f aca="false">D86/750000</f>
        <v>0.0127866666666667</v>
      </c>
      <c r="F86" s="6" t="n">
        <f aca="false">F85+D86</f>
        <v>1661410</v>
      </c>
    </row>
    <row r="87" customFormat="false" ht="15" hidden="false" customHeight="false" outlineLevel="0" collapsed="false">
      <c r="A87" s="5" t="s">
        <v>112</v>
      </c>
      <c r="B87" s="6" t="n">
        <v>12286</v>
      </c>
      <c r="C87" s="6" t="n">
        <v>39796</v>
      </c>
      <c r="D87" s="6" t="n">
        <f aca="false">B87+C87</f>
        <v>52082</v>
      </c>
      <c r="E87" s="7" t="n">
        <f aca="false">D87/750000</f>
        <v>0.0694426666666667</v>
      </c>
      <c r="F87" s="6" t="n">
        <f aca="false">F86+D87</f>
        <v>1713492</v>
      </c>
    </row>
    <row r="88" customFormat="false" ht="15" hidden="false" customHeight="false" outlineLevel="0" collapsed="false">
      <c r="A88" s="5" t="s">
        <v>113</v>
      </c>
      <c r="B88" s="6" t="n">
        <v>22820</v>
      </c>
      <c r="C88" s="6" t="n">
        <v>44404</v>
      </c>
      <c r="D88" s="6" t="n">
        <f aca="false">B88+C88</f>
        <v>67224</v>
      </c>
      <c r="E88" s="7" t="n">
        <f aca="false">D88/750000</f>
        <v>0.089632</v>
      </c>
      <c r="F88" s="6" t="n">
        <f aca="false">F87+D88</f>
        <v>1780716</v>
      </c>
    </row>
    <row r="89" customFormat="false" ht="15" hidden="false" customHeight="false" outlineLevel="0" collapsed="false">
      <c r="A89" s="5" t="s">
        <v>114</v>
      </c>
      <c r="B89" s="6" t="n">
        <v>-16732</v>
      </c>
      <c r="C89" s="6" t="n">
        <v>-15658</v>
      </c>
      <c r="D89" s="6" t="n">
        <f aca="false">B89+C89</f>
        <v>-32390</v>
      </c>
      <c r="E89" s="7" t="n">
        <f aca="false">D89/750000</f>
        <v>-0.0431866666666667</v>
      </c>
      <c r="F89" s="6" t="n">
        <f aca="false">F88+D89</f>
        <v>1748326</v>
      </c>
    </row>
    <row r="90" customFormat="false" ht="15" hidden="false" customHeight="false" outlineLevel="0" collapsed="false">
      <c r="A90" s="5" t="s">
        <v>115</v>
      </c>
      <c r="B90" s="6" t="n">
        <v>-15760</v>
      </c>
      <c r="C90" s="6" t="n">
        <v>12967</v>
      </c>
      <c r="D90" s="6" t="n">
        <f aca="false">B90+C90</f>
        <v>-2793</v>
      </c>
      <c r="E90" s="7" t="n">
        <f aca="false">D90/750000</f>
        <v>-0.003724</v>
      </c>
      <c r="F90" s="6" t="n">
        <f aca="false">F89+D90</f>
        <v>1745533</v>
      </c>
    </row>
    <row r="91" customFormat="false" ht="15" hidden="false" customHeight="false" outlineLevel="0" collapsed="false">
      <c r="A91" s="5" t="s">
        <v>116</v>
      </c>
      <c r="B91" s="6" t="n">
        <v>15006</v>
      </c>
      <c r="C91" s="6" t="n">
        <v>6696</v>
      </c>
      <c r="D91" s="6" t="n">
        <f aca="false">B91+C91</f>
        <v>21702</v>
      </c>
      <c r="E91" s="7" t="n">
        <f aca="false">D91/750000</f>
        <v>0.028936</v>
      </c>
      <c r="F91" s="6" t="n">
        <f aca="false">F90+D91</f>
        <v>1767235</v>
      </c>
    </row>
    <row r="92" customFormat="false" ht="15" hidden="false" customHeight="false" outlineLevel="0" collapsed="false">
      <c r="A92" s="5" t="s">
        <v>117</v>
      </c>
      <c r="B92" s="6" t="n">
        <v>20</v>
      </c>
      <c r="C92" s="6" t="n">
        <v>9520</v>
      </c>
      <c r="D92" s="6" t="n">
        <f aca="false">B92+C92</f>
        <v>9540</v>
      </c>
      <c r="E92" s="7" t="n">
        <f aca="false">D92/750000</f>
        <v>0.01272</v>
      </c>
      <c r="F92" s="6" t="n">
        <f aca="false">F91+D92</f>
        <v>1776775</v>
      </c>
    </row>
    <row r="93" customFormat="false" ht="15" hidden="false" customHeight="false" outlineLevel="0" collapsed="false">
      <c r="A93" s="5" t="s">
        <v>118</v>
      </c>
      <c r="B93" s="6" t="n">
        <v>11215</v>
      </c>
      <c r="C93" s="6" t="n">
        <v>12464</v>
      </c>
      <c r="D93" s="6" t="n">
        <f aca="false">B93+C93</f>
        <v>23679</v>
      </c>
      <c r="E93" s="7" t="n">
        <f aca="false">D93/750000</f>
        <v>0.031572</v>
      </c>
      <c r="F93" s="6" t="n">
        <f aca="false">F92+D93</f>
        <v>1800454</v>
      </c>
    </row>
    <row r="94" customFormat="false" ht="15" hidden="false" customHeight="false" outlineLevel="0" collapsed="false">
      <c r="A94" s="5" t="s">
        <v>119</v>
      </c>
      <c r="B94" s="6" t="n">
        <v>11025</v>
      </c>
      <c r="C94" s="6" t="n">
        <v>-4630</v>
      </c>
      <c r="D94" s="6" t="n">
        <f aca="false">B94+C94</f>
        <v>6395</v>
      </c>
      <c r="E94" s="7" t="n">
        <f aca="false">D94/750000</f>
        <v>0.00852666666666667</v>
      </c>
      <c r="F94" s="6" t="n">
        <f aca="false">F93+D94</f>
        <v>1806849</v>
      </c>
    </row>
    <row r="95" customFormat="false" ht="15" hidden="false" customHeight="false" outlineLevel="0" collapsed="false">
      <c r="A95" s="5" t="s">
        <v>120</v>
      </c>
      <c r="B95" s="6" t="n">
        <v>-16708</v>
      </c>
      <c r="C95" s="6" t="n">
        <v>19844</v>
      </c>
      <c r="D95" s="6" t="n">
        <f aca="false">B95+C95</f>
        <v>3136</v>
      </c>
      <c r="E95" s="7" t="n">
        <f aca="false">D95/750000</f>
        <v>0.00418133333333333</v>
      </c>
      <c r="F95" s="6" t="n">
        <f aca="false">F94+D95</f>
        <v>1809985</v>
      </c>
    </row>
    <row r="96" customFormat="false" ht="15" hidden="false" customHeight="false" outlineLevel="0" collapsed="false">
      <c r="A96" s="5" t="s">
        <v>121</v>
      </c>
      <c r="B96" s="6" t="n">
        <v>-6420</v>
      </c>
      <c r="C96" s="6" t="n">
        <v>-6800</v>
      </c>
      <c r="D96" s="6" t="n">
        <f aca="false">B96+C96</f>
        <v>-13220</v>
      </c>
      <c r="E96" s="7" t="n">
        <f aca="false">D96/750000</f>
        <v>-0.0176266666666667</v>
      </c>
      <c r="F96" s="6" t="n">
        <f aca="false">F95+D96</f>
        <v>1796765</v>
      </c>
    </row>
    <row r="97" customFormat="false" ht="15" hidden="false" customHeight="false" outlineLevel="0" collapsed="false">
      <c r="A97" s="5" t="s">
        <v>122</v>
      </c>
      <c r="B97" s="6" t="n">
        <v>6084</v>
      </c>
      <c r="C97" s="6" t="n">
        <v>11365</v>
      </c>
      <c r="D97" s="6" t="n">
        <f aca="false">B97+C97</f>
        <v>17449</v>
      </c>
      <c r="E97" s="7" t="n">
        <f aca="false">D97/750000</f>
        <v>0.0232653333333333</v>
      </c>
      <c r="F97" s="6" t="n">
        <f aca="false">F96+D97</f>
        <v>1814214</v>
      </c>
    </row>
    <row r="98" customFormat="false" ht="15" hidden="false" customHeight="false" outlineLevel="0" collapsed="false">
      <c r="A98" s="5" t="s">
        <v>123</v>
      </c>
      <c r="B98" s="6" t="n">
        <v>-10743</v>
      </c>
      <c r="C98" s="6" t="n">
        <v>-4846</v>
      </c>
      <c r="D98" s="6" t="n">
        <f aca="false">B98+C98</f>
        <v>-15589</v>
      </c>
      <c r="E98" s="7" t="n">
        <f aca="false">D98/750000</f>
        <v>-0.0207853333333333</v>
      </c>
      <c r="F98" s="6" t="n">
        <f aca="false">F97+D98</f>
        <v>1798625</v>
      </c>
    </row>
    <row r="99" customFormat="false" ht="15" hidden="false" customHeight="false" outlineLevel="0" collapsed="false">
      <c r="A99" s="5" t="s">
        <v>124</v>
      </c>
      <c r="B99" s="6" t="n">
        <v>-3450</v>
      </c>
      <c r="C99" s="6" t="n">
        <v>5831</v>
      </c>
      <c r="D99" s="6" t="n">
        <f aca="false">B99+C99</f>
        <v>2381</v>
      </c>
      <c r="E99" s="7" t="n">
        <f aca="false">D99/750000</f>
        <v>0.00317466666666667</v>
      </c>
      <c r="F99" s="6" t="n">
        <f aca="false">F98+D99</f>
        <v>1801006</v>
      </c>
    </row>
    <row r="100" customFormat="false" ht="15" hidden="false" customHeight="false" outlineLevel="0" collapsed="false">
      <c r="A100" s="5" t="s">
        <v>125</v>
      </c>
      <c r="B100" s="6" t="n">
        <v>16605</v>
      </c>
      <c r="C100" s="6" t="n">
        <v>8476</v>
      </c>
      <c r="D100" s="6" t="n">
        <f aca="false">B100+C100</f>
        <v>25081</v>
      </c>
      <c r="E100" s="7" t="n">
        <f aca="false">D100/750000</f>
        <v>0.0334413333333333</v>
      </c>
      <c r="F100" s="6" t="n">
        <f aca="false">F99+D100</f>
        <v>1826087</v>
      </c>
    </row>
    <row r="101" customFormat="false" ht="15" hidden="false" customHeight="false" outlineLevel="0" collapsed="false">
      <c r="A101" s="5" t="s">
        <v>126</v>
      </c>
      <c r="B101" s="6" t="n">
        <v>4380</v>
      </c>
      <c r="C101" s="6" t="n">
        <v>5963</v>
      </c>
      <c r="D101" s="6" t="n">
        <f aca="false">B101+C101</f>
        <v>10343</v>
      </c>
      <c r="E101" s="7" t="n">
        <f aca="false">D101/750000</f>
        <v>0.0137906666666667</v>
      </c>
      <c r="F101" s="6" t="n">
        <f aca="false">F100+D101</f>
        <v>1836430</v>
      </c>
    </row>
    <row r="102" customFormat="false" ht="15" hidden="false" customHeight="false" outlineLevel="0" collapsed="false">
      <c r="A102" s="5" t="s">
        <v>127</v>
      </c>
      <c r="B102" s="6" t="n">
        <v>-5772</v>
      </c>
      <c r="C102" s="6" t="n">
        <v>12042</v>
      </c>
      <c r="D102" s="6" t="n">
        <f aca="false">B102+C102</f>
        <v>6270</v>
      </c>
      <c r="E102" s="7" t="n">
        <f aca="false">D102/750000</f>
        <v>0.00836</v>
      </c>
      <c r="F102" s="6" t="n">
        <f aca="false">F101+D102</f>
        <v>1842700</v>
      </c>
    </row>
    <row r="103" customFormat="false" ht="15" hidden="false" customHeight="false" outlineLevel="0" collapsed="false">
      <c r="A103" s="5" t="s">
        <v>128</v>
      </c>
      <c r="B103" s="6" t="n">
        <v>1198</v>
      </c>
      <c r="C103" s="6" t="n">
        <v>-7162</v>
      </c>
      <c r="D103" s="6" t="n">
        <f aca="false">B103+C103</f>
        <v>-5964</v>
      </c>
      <c r="E103" s="7" t="n">
        <f aca="false">D103/750000</f>
        <v>-0.007952</v>
      </c>
      <c r="F103" s="6" t="n">
        <f aca="false">F102+D103</f>
        <v>1836736</v>
      </c>
    </row>
    <row r="104" customFormat="false" ht="15" hidden="false" customHeight="false" outlineLevel="0" collapsed="false">
      <c r="A104" s="5" t="s">
        <v>129</v>
      </c>
      <c r="B104" s="6" t="n">
        <v>-1778</v>
      </c>
      <c r="C104" s="6" t="n">
        <v>-819</v>
      </c>
      <c r="D104" s="6" t="n">
        <f aca="false">B104+C104</f>
        <v>-2597</v>
      </c>
      <c r="E104" s="7" t="n">
        <f aca="false">D104/750000</f>
        <v>-0.00346266666666667</v>
      </c>
      <c r="F104" s="6" t="n">
        <f aca="false">F103+D104</f>
        <v>1834139</v>
      </c>
    </row>
    <row r="105" customFormat="false" ht="15" hidden="false" customHeight="false" outlineLevel="0" collapsed="false">
      <c r="A105" s="5" t="s">
        <v>130</v>
      </c>
      <c r="B105" s="6" t="n">
        <v>-1904</v>
      </c>
      <c r="C105" s="6" t="n">
        <v>9612</v>
      </c>
      <c r="D105" s="6" t="n">
        <f aca="false">B105+C105</f>
        <v>7708</v>
      </c>
      <c r="E105" s="7" t="n">
        <f aca="false">D105/750000</f>
        <v>0.0102773333333333</v>
      </c>
      <c r="F105" s="6" t="n">
        <f aca="false">F104+D105</f>
        <v>1841847</v>
      </c>
    </row>
    <row r="106" customFormat="false" ht="15" hidden="false" customHeight="false" outlineLevel="0" collapsed="false">
      <c r="A106" s="5" t="s">
        <v>131</v>
      </c>
      <c r="B106" s="6" t="n">
        <v>5594</v>
      </c>
      <c r="C106" s="6" t="n">
        <v>13996</v>
      </c>
      <c r="D106" s="6" t="n">
        <f aca="false">B106+C106</f>
        <v>19590</v>
      </c>
      <c r="E106" s="7" t="n">
        <f aca="false">D106/750000</f>
        <v>0.02612</v>
      </c>
      <c r="F106" s="6" t="n">
        <f aca="false">F105+D106</f>
        <v>1861437</v>
      </c>
    </row>
    <row r="107" customFormat="false" ht="15" hidden="false" customHeight="false" outlineLevel="0" collapsed="false">
      <c r="A107" s="5" t="s">
        <v>132</v>
      </c>
      <c r="B107" s="6" t="n">
        <v>-1410</v>
      </c>
      <c r="C107" s="6" t="n">
        <v>-947</v>
      </c>
      <c r="D107" s="6" t="n">
        <f aca="false">B107+C107</f>
        <v>-2357</v>
      </c>
      <c r="E107" s="7" t="n">
        <f aca="false">D107/750000</f>
        <v>-0.00314266666666667</v>
      </c>
      <c r="F107" s="6" t="n">
        <f aca="false">F106+D107</f>
        <v>1859080</v>
      </c>
    </row>
    <row r="108" customFormat="false" ht="15" hidden="false" customHeight="false" outlineLevel="0" collapsed="false">
      <c r="A108" s="5" t="s">
        <v>133</v>
      </c>
      <c r="B108" s="6" t="n">
        <v>18031</v>
      </c>
      <c r="C108" s="6" t="n">
        <v>5514</v>
      </c>
      <c r="D108" s="6" t="n">
        <f aca="false">B108+C108</f>
        <v>23545</v>
      </c>
      <c r="E108" s="7" t="n">
        <f aca="false">D108/750000</f>
        <v>0.0313933333333333</v>
      </c>
      <c r="F108" s="6" t="n">
        <f aca="false">F107+D108</f>
        <v>1882625</v>
      </c>
    </row>
    <row r="109" customFormat="false" ht="15" hidden="false" customHeight="false" outlineLevel="0" collapsed="false">
      <c r="A109" s="5" t="s">
        <v>134</v>
      </c>
      <c r="B109" s="6" t="n">
        <v>-14029</v>
      </c>
      <c r="C109" s="6" t="n">
        <v>-1463</v>
      </c>
      <c r="D109" s="6" t="n">
        <f aca="false">B109+C109</f>
        <v>-15492</v>
      </c>
      <c r="E109" s="7" t="n">
        <f aca="false">D109/750000</f>
        <v>-0.020656</v>
      </c>
      <c r="F109" s="6" t="n">
        <f aca="false">F108+D109</f>
        <v>1867133</v>
      </c>
    </row>
    <row r="110" customFormat="false" ht="15" hidden="false" customHeight="false" outlineLevel="0" collapsed="false">
      <c r="A110" s="5" t="s">
        <v>135</v>
      </c>
      <c r="B110" s="6" t="n">
        <v>402</v>
      </c>
      <c r="C110" s="6" t="n">
        <v>9472</v>
      </c>
      <c r="D110" s="6" t="n">
        <f aca="false">B110+C110</f>
        <v>9874</v>
      </c>
      <c r="E110" s="7" t="n">
        <f aca="false">D110/750000</f>
        <v>0.0131653333333333</v>
      </c>
      <c r="F110" s="6" t="n">
        <f aca="false">F109+D110</f>
        <v>1877007</v>
      </c>
    </row>
    <row r="111" customFormat="false" ht="15" hidden="false" customHeight="false" outlineLevel="0" collapsed="false">
      <c r="A111" s="5" t="s">
        <v>136</v>
      </c>
      <c r="B111" s="6" t="n">
        <v>1750</v>
      </c>
      <c r="C111" s="6" t="n">
        <v>7189</v>
      </c>
      <c r="D111" s="6" t="n">
        <f aca="false">B111+C111</f>
        <v>8939</v>
      </c>
      <c r="E111" s="7" t="n">
        <f aca="false">D111/750000</f>
        <v>0.0119186666666667</v>
      </c>
      <c r="F111" s="6" t="n">
        <f aca="false">F110+D111</f>
        <v>1885946</v>
      </c>
    </row>
    <row r="112" customFormat="false" ht="15" hidden="false" customHeight="false" outlineLevel="0" collapsed="false">
      <c r="A112" s="5" t="s">
        <v>137</v>
      </c>
      <c r="B112" s="6" t="n">
        <v>13342</v>
      </c>
      <c r="C112" s="6" t="n">
        <v>-2068</v>
      </c>
      <c r="D112" s="6" t="n">
        <f aca="false">B112+C112</f>
        <v>11274</v>
      </c>
      <c r="E112" s="7" t="n">
        <f aca="false">D112/750000</f>
        <v>0.015032</v>
      </c>
      <c r="F112" s="6" t="n">
        <f aca="false">F111+D112</f>
        <v>1897220</v>
      </c>
    </row>
    <row r="113" customFormat="false" ht="15" hidden="false" customHeight="false" outlineLevel="0" collapsed="false">
      <c r="A113" s="5" t="s">
        <v>138</v>
      </c>
      <c r="B113" s="6" t="n">
        <v>-5259</v>
      </c>
      <c r="C113" s="6" t="n">
        <v>-449</v>
      </c>
      <c r="D113" s="6" t="n">
        <f aca="false">B113+C113</f>
        <v>-5708</v>
      </c>
      <c r="E113" s="7" t="n">
        <f aca="false">D113/750000</f>
        <v>-0.00761066666666667</v>
      </c>
      <c r="F113" s="6" t="n">
        <f aca="false">F112+D113</f>
        <v>1891512</v>
      </c>
    </row>
    <row r="114" customFormat="false" ht="15" hidden="false" customHeight="false" outlineLevel="0" collapsed="false">
      <c r="A114" s="5" t="s">
        <v>139</v>
      </c>
      <c r="B114" s="6" t="n">
        <v>21357</v>
      </c>
      <c r="C114" s="6" t="n">
        <v>11248</v>
      </c>
      <c r="D114" s="6" t="n">
        <f aca="false">B114+C114</f>
        <v>32605</v>
      </c>
      <c r="E114" s="7" t="n">
        <f aca="false">D114/750000</f>
        <v>0.0434733333333333</v>
      </c>
      <c r="F114" s="6" t="n">
        <f aca="false">F113+D114</f>
        <v>1924117</v>
      </c>
    </row>
    <row r="115" customFormat="false" ht="15" hidden="false" customHeight="false" outlineLevel="0" collapsed="false">
      <c r="A115" s="5" t="s">
        <v>140</v>
      </c>
      <c r="B115" s="6" t="n">
        <v>12488</v>
      </c>
      <c r="C115" s="6" t="n">
        <v>12222</v>
      </c>
      <c r="D115" s="6" t="n">
        <f aca="false">B115+C115</f>
        <v>24710</v>
      </c>
      <c r="E115" s="7" t="n">
        <f aca="false">D115/750000</f>
        <v>0.0329466666666667</v>
      </c>
      <c r="F115" s="6" t="n">
        <f aca="false">F114+D115</f>
        <v>1948827</v>
      </c>
    </row>
    <row r="116" customFormat="false" ht="15" hidden="false" customHeight="false" outlineLevel="0" collapsed="false">
      <c r="A116" s="5" t="s">
        <v>141</v>
      </c>
      <c r="B116" s="6" t="n">
        <v>-6452</v>
      </c>
      <c r="C116" s="6" t="n">
        <v>4912</v>
      </c>
      <c r="D116" s="6" t="n">
        <f aca="false">B116+C116</f>
        <v>-1540</v>
      </c>
      <c r="E116" s="7" t="n">
        <f aca="false">D116/750000</f>
        <v>-0.00205333333333333</v>
      </c>
      <c r="F116" s="6" t="n">
        <f aca="false">F115+D116</f>
        <v>1947287</v>
      </c>
    </row>
    <row r="117" customFormat="false" ht="15" hidden="false" customHeight="false" outlineLevel="0" collapsed="false">
      <c r="A117" s="5" t="s">
        <v>142</v>
      </c>
      <c r="B117" s="6" t="n">
        <v>-3257</v>
      </c>
      <c r="C117" s="6" t="n">
        <v>9708</v>
      </c>
      <c r="D117" s="6" t="n">
        <f aca="false">B117+C117</f>
        <v>6451</v>
      </c>
      <c r="E117" s="7" t="n">
        <f aca="false">D117/750000</f>
        <v>0.00860133333333333</v>
      </c>
      <c r="F117" s="6" t="n">
        <f aca="false">F116+D117</f>
        <v>1953738</v>
      </c>
    </row>
    <row r="118" customFormat="false" ht="15" hidden="false" customHeight="false" outlineLevel="0" collapsed="false">
      <c r="A118" s="5" t="s">
        <v>143</v>
      </c>
      <c r="B118" s="6" t="n">
        <v>-5518</v>
      </c>
      <c r="C118" s="6" t="n">
        <v>-13604</v>
      </c>
      <c r="D118" s="6" t="n">
        <f aca="false">B118+C118</f>
        <v>-19122</v>
      </c>
      <c r="E118" s="7" t="n">
        <f aca="false">D118/750000</f>
        <v>-0.025496</v>
      </c>
      <c r="F118" s="6" t="n">
        <f aca="false">F117+D118</f>
        <v>1934616</v>
      </c>
    </row>
    <row r="119" customFormat="false" ht="15" hidden="false" customHeight="false" outlineLevel="0" collapsed="false">
      <c r="A119" s="5" t="s">
        <v>144</v>
      </c>
      <c r="B119" s="6" t="n">
        <v>11775</v>
      </c>
      <c r="C119" s="6" t="n">
        <v>15976</v>
      </c>
      <c r="D119" s="6" t="n">
        <f aca="false">B119+C119</f>
        <v>27751</v>
      </c>
      <c r="E119" s="7" t="n">
        <f aca="false">D119/750000</f>
        <v>0.0370013333333333</v>
      </c>
      <c r="F119" s="6" t="n">
        <f aca="false">F118+D119</f>
        <v>1962367</v>
      </c>
    </row>
    <row r="120" customFormat="false" ht="15" hidden="false" customHeight="false" outlineLevel="0" collapsed="false">
      <c r="A120" s="5" t="s">
        <v>145</v>
      </c>
      <c r="B120" s="6" t="n">
        <v>14717</v>
      </c>
      <c r="C120" s="6" t="n">
        <v>3786</v>
      </c>
      <c r="D120" s="6" t="n">
        <f aca="false">B120+C120</f>
        <v>18503</v>
      </c>
      <c r="E120" s="7" t="n">
        <f aca="false">D120/750000</f>
        <v>0.0246706666666667</v>
      </c>
      <c r="F120" s="6" t="n">
        <f aca="false">F119+D120</f>
        <v>1980870</v>
      </c>
    </row>
    <row r="121" customFormat="false" ht="15" hidden="false" customHeight="false" outlineLevel="0" collapsed="false">
      <c r="A121" s="5" t="s">
        <v>146</v>
      </c>
      <c r="B121" s="6" t="n">
        <v>99711</v>
      </c>
      <c r="C121" s="6" t="n">
        <v>-6288</v>
      </c>
      <c r="D121" s="6" t="n">
        <f aca="false">B121+C121</f>
        <v>93423</v>
      </c>
      <c r="E121" s="7" t="n">
        <f aca="false">D121/750000</f>
        <v>0.124564</v>
      </c>
      <c r="F121" s="6" t="n">
        <f aca="false">F120+D121</f>
        <v>2074293</v>
      </c>
    </row>
    <row r="122" customFormat="false" ht="15" hidden="false" customHeight="false" outlineLevel="0" collapsed="false">
      <c r="A122" s="5" t="s">
        <v>147</v>
      </c>
      <c r="B122" s="6" t="n">
        <v>27907</v>
      </c>
      <c r="C122" s="6" t="n">
        <v>13663</v>
      </c>
      <c r="D122" s="6" t="n">
        <f aca="false">B122+C122</f>
        <v>41570</v>
      </c>
      <c r="E122" s="7" t="n">
        <f aca="false">D122/750000</f>
        <v>0.0554266666666667</v>
      </c>
      <c r="F122" s="6" t="n">
        <f aca="false">F121+D122</f>
        <v>2115863</v>
      </c>
    </row>
    <row r="123" customFormat="false" ht="15" hidden="false" customHeight="false" outlineLevel="0" collapsed="false">
      <c r="A123" s="5" t="s">
        <v>148</v>
      </c>
      <c r="B123" s="6" t="n">
        <v>-878</v>
      </c>
      <c r="C123" s="6" t="n">
        <v>12390</v>
      </c>
      <c r="D123" s="6" t="n">
        <f aca="false">B123+C123</f>
        <v>11512</v>
      </c>
      <c r="E123" s="7" t="n">
        <f aca="false">D123/750000</f>
        <v>0.0153493333333333</v>
      </c>
      <c r="F123" s="6" t="n">
        <f aca="false">F122+D123</f>
        <v>2127375</v>
      </c>
    </row>
    <row r="124" customFormat="false" ht="15" hidden="false" customHeight="false" outlineLevel="0" collapsed="false">
      <c r="A124" s="5" t="s">
        <v>149</v>
      </c>
      <c r="B124" s="6" t="n">
        <v>21802</v>
      </c>
      <c r="C124" s="6" t="n">
        <v>-15058</v>
      </c>
      <c r="D124" s="6" t="n">
        <f aca="false">B124+C124</f>
        <v>6744</v>
      </c>
      <c r="E124" s="7" t="n">
        <f aca="false">D124/750000</f>
        <v>0.008992</v>
      </c>
      <c r="F124" s="6" t="n">
        <f aca="false">F123+D124</f>
        <v>2134119</v>
      </c>
    </row>
    <row r="125" customFormat="false" ht="15" hidden="false" customHeight="false" outlineLevel="0" collapsed="false">
      <c r="A125" s="5" t="s">
        <v>150</v>
      </c>
      <c r="B125" s="6" t="n">
        <v>26281</v>
      </c>
      <c r="C125" s="6" t="n">
        <v>7554</v>
      </c>
      <c r="D125" s="6" t="n">
        <f aca="false">B125+C125</f>
        <v>33835</v>
      </c>
      <c r="E125" s="7" t="n">
        <f aca="false">D125/750000</f>
        <v>0.0451133333333333</v>
      </c>
      <c r="F125" s="6" t="n">
        <f aca="false">F124+D125</f>
        <v>2167954</v>
      </c>
    </row>
    <row r="126" customFormat="false" ht="15" hidden="false" customHeight="false" outlineLevel="0" collapsed="false">
      <c r="A126" s="5" t="s">
        <v>151</v>
      </c>
      <c r="B126" s="6" t="n">
        <v>38438</v>
      </c>
      <c r="C126" s="6" t="n">
        <v>-20415</v>
      </c>
      <c r="D126" s="6" t="n">
        <f aca="false">B126+C126</f>
        <v>18023</v>
      </c>
      <c r="E126" s="7" t="n">
        <f aca="false">D126/750000</f>
        <v>0.0240306666666667</v>
      </c>
      <c r="F126" s="6" t="n">
        <f aca="false">F125+D126</f>
        <v>2185977</v>
      </c>
    </row>
    <row r="127" customFormat="false" ht="15" hidden="false" customHeight="false" outlineLevel="0" collapsed="false">
      <c r="A127" s="5" t="s">
        <v>152</v>
      </c>
      <c r="B127" s="6" t="n">
        <v>6703</v>
      </c>
      <c r="C127" s="6" t="n">
        <v>17753</v>
      </c>
      <c r="D127" s="6" t="n">
        <f aca="false">B127+C127</f>
        <v>24456</v>
      </c>
      <c r="E127" s="7" t="n">
        <f aca="false">D127/750000</f>
        <v>0.032608</v>
      </c>
      <c r="F127" s="6" t="n">
        <f aca="false">F126+D127</f>
        <v>2210433</v>
      </c>
    </row>
    <row r="128" customFormat="false" ht="15" hidden="false" customHeight="false" outlineLevel="0" collapsed="false">
      <c r="A128" s="5" t="s">
        <v>153</v>
      </c>
      <c r="B128" s="6" t="n">
        <v>-6049</v>
      </c>
      <c r="C128" s="6" t="n">
        <v>13881</v>
      </c>
      <c r="D128" s="6" t="n">
        <f aca="false">B128+C128</f>
        <v>7832</v>
      </c>
      <c r="E128" s="7" t="n">
        <f aca="false">D128/750000</f>
        <v>0.0104426666666667</v>
      </c>
      <c r="F128" s="6" t="n">
        <f aca="false">F127+D128</f>
        <v>2218265</v>
      </c>
    </row>
    <row r="129" customFormat="false" ht="15" hidden="false" customHeight="false" outlineLevel="0" collapsed="false">
      <c r="A129" s="5" t="s">
        <v>154</v>
      </c>
      <c r="B129" s="6" t="n">
        <v>18219</v>
      </c>
      <c r="C129" s="6" t="n">
        <v>9490</v>
      </c>
      <c r="D129" s="6" t="n">
        <f aca="false">B129+C129</f>
        <v>27709</v>
      </c>
      <c r="E129" s="7" t="n">
        <f aca="false">D129/750000</f>
        <v>0.0369453333333333</v>
      </c>
      <c r="F129" s="6" t="n">
        <f aca="false">F128+D129</f>
        <v>2245974</v>
      </c>
    </row>
    <row r="130" customFormat="false" ht="15" hidden="false" customHeight="false" outlineLevel="0" collapsed="false">
      <c r="A130" s="5" t="s">
        <v>155</v>
      </c>
      <c r="B130" s="6" t="n">
        <v>8704</v>
      </c>
      <c r="C130" s="6" t="n">
        <v>-1518</v>
      </c>
      <c r="D130" s="6" t="n">
        <f aca="false">B130+C130</f>
        <v>7186</v>
      </c>
      <c r="E130" s="7" t="n">
        <f aca="false">D130/750000</f>
        <v>0.00958133333333333</v>
      </c>
      <c r="F130" s="6" t="n">
        <f aca="false">F129+D130</f>
        <v>2253160</v>
      </c>
    </row>
    <row r="131" customFormat="false" ht="15" hidden="false" customHeight="false" outlineLevel="0" collapsed="false">
      <c r="A131" s="5" t="s">
        <v>156</v>
      </c>
      <c r="B131" s="6" t="n">
        <v>29175</v>
      </c>
      <c r="C131" s="6" t="n">
        <v>20910</v>
      </c>
      <c r="D131" s="6" t="n">
        <f aca="false">B131+C131</f>
        <v>50085</v>
      </c>
      <c r="E131" s="7" t="n">
        <f aca="false">D131/750000</f>
        <v>0.06678</v>
      </c>
      <c r="F131" s="6" t="n">
        <f aca="false">F130+D131</f>
        <v>2303245</v>
      </c>
    </row>
    <row r="132" customFormat="false" ht="15" hidden="false" customHeight="false" outlineLevel="0" collapsed="false">
      <c r="A132" s="5" t="s">
        <v>157</v>
      </c>
      <c r="B132" s="6" t="n">
        <v>49049</v>
      </c>
      <c r="C132" s="6" t="n">
        <v>10835</v>
      </c>
      <c r="D132" s="6" t="n">
        <f aca="false">B132+C132</f>
        <v>59884</v>
      </c>
      <c r="E132" s="7" t="n">
        <f aca="false">D132/750000</f>
        <v>0.0798453333333333</v>
      </c>
      <c r="F132" s="6" t="n">
        <f aca="false">F131+D132</f>
        <v>2363129</v>
      </c>
    </row>
    <row r="133" customFormat="false" ht="15" hidden="false" customHeight="false" outlineLevel="0" collapsed="false">
      <c r="A133" s="5" t="s">
        <v>158</v>
      </c>
      <c r="B133" s="6" t="n">
        <v>-3368</v>
      </c>
      <c r="C133" s="6" t="n">
        <v>7412</v>
      </c>
      <c r="D133" s="6" t="n">
        <f aca="false">B133+C133</f>
        <v>4044</v>
      </c>
      <c r="E133" s="7" t="n">
        <f aca="false">D133/750000</f>
        <v>0.005392</v>
      </c>
      <c r="F133" s="6" t="n">
        <f aca="false">F132+D133</f>
        <v>2367173</v>
      </c>
    </row>
    <row r="134" customFormat="false" ht="15" hidden="false" customHeight="false" outlineLevel="0" collapsed="false">
      <c r="A134" s="5" t="s">
        <v>159</v>
      </c>
      <c r="B134" s="6" t="n">
        <v>-1818</v>
      </c>
      <c r="C134" s="6" t="n">
        <v>-15597</v>
      </c>
      <c r="D134" s="6" t="n">
        <f aca="false">B134+C134</f>
        <v>-17415</v>
      </c>
      <c r="E134" s="7" t="n">
        <f aca="false">D134/750000</f>
        <v>-0.02322</v>
      </c>
      <c r="F134" s="6" t="n">
        <f aca="false">F133+D134</f>
        <v>2349758</v>
      </c>
    </row>
    <row r="135" customFormat="false" ht="15" hidden="false" customHeight="false" outlineLevel="0" collapsed="false">
      <c r="A135" s="5" t="s">
        <v>160</v>
      </c>
      <c r="B135" s="6" t="n">
        <v>18951</v>
      </c>
      <c r="C135" s="6" t="n">
        <v>-7285</v>
      </c>
      <c r="D135" s="6" t="n">
        <f aca="false">B135+C135</f>
        <v>11666</v>
      </c>
      <c r="E135" s="7" t="n">
        <f aca="false">D135/750000</f>
        <v>0.0155546666666667</v>
      </c>
      <c r="F135" s="6" t="n">
        <f aca="false">F134+D135</f>
        <v>2361424</v>
      </c>
    </row>
    <row r="136" customFormat="false" ht="15" hidden="false" customHeight="false" outlineLevel="0" collapsed="false">
      <c r="A136" s="5" t="s">
        <v>161</v>
      </c>
      <c r="B136" s="6" t="n">
        <v>-20075</v>
      </c>
      <c r="C136" s="6" t="n">
        <v>18203</v>
      </c>
      <c r="D136" s="6" t="n">
        <f aca="false">B136+C136</f>
        <v>-1872</v>
      </c>
      <c r="E136" s="7" t="n">
        <f aca="false">D136/750000</f>
        <v>-0.002496</v>
      </c>
      <c r="F136" s="6" t="n">
        <f aca="false">F135+D136</f>
        <v>2359552</v>
      </c>
    </row>
    <row r="137" customFormat="false" ht="15" hidden="false" customHeight="false" outlineLevel="0" collapsed="false">
      <c r="A137" s="5" t="s">
        <v>162</v>
      </c>
      <c r="B137" s="6" t="n">
        <v>-4157</v>
      </c>
      <c r="C137" s="6" t="n">
        <v>-583</v>
      </c>
      <c r="D137" s="6" t="n">
        <f aca="false">B137+C137</f>
        <v>-4740</v>
      </c>
      <c r="E137" s="7" t="n">
        <f aca="false">D137/750000</f>
        <v>-0.00632</v>
      </c>
      <c r="F137" s="6" t="n">
        <f aca="false">F136+D137</f>
        <v>2354812</v>
      </c>
    </row>
    <row r="138" customFormat="false" ht="15" hidden="false" customHeight="false" outlineLevel="0" collapsed="false">
      <c r="A138" s="5" t="s">
        <v>163</v>
      </c>
      <c r="B138" s="6" t="n">
        <v>4650</v>
      </c>
      <c r="C138" s="6" t="n">
        <v>-15965</v>
      </c>
      <c r="D138" s="6" t="n">
        <f aca="false">B138+C138</f>
        <v>-11315</v>
      </c>
      <c r="E138" s="7" t="n">
        <f aca="false">D138/750000</f>
        <v>-0.0150866666666667</v>
      </c>
      <c r="F138" s="6" t="n">
        <f aca="false">F137+D138</f>
        <v>2343497</v>
      </c>
    </row>
    <row r="139" customFormat="false" ht="15" hidden="false" customHeight="false" outlineLevel="0" collapsed="false">
      <c r="A139" s="5" t="s">
        <v>164</v>
      </c>
      <c r="B139" s="6" t="n">
        <v>8240</v>
      </c>
      <c r="C139" s="6" t="n">
        <v>-834</v>
      </c>
      <c r="D139" s="6" t="n">
        <f aca="false">B139+C139</f>
        <v>7406</v>
      </c>
      <c r="E139" s="7" t="n">
        <f aca="false">D139/750000</f>
        <v>0.00987466666666667</v>
      </c>
      <c r="F139" s="6" t="n">
        <f aca="false">F138+D139</f>
        <v>2350903</v>
      </c>
    </row>
    <row r="140" customFormat="false" ht="15" hidden="false" customHeight="false" outlineLevel="0" collapsed="false">
      <c r="A140" s="5" t="s">
        <v>165</v>
      </c>
      <c r="B140" s="6" t="n">
        <v>15483</v>
      </c>
      <c r="C140" s="6" t="n">
        <v>-14185</v>
      </c>
      <c r="D140" s="6" t="n">
        <f aca="false">B140+C140</f>
        <v>1298</v>
      </c>
      <c r="E140" s="7" t="n">
        <f aca="false">D140/750000</f>
        <v>0.00173066666666667</v>
      </c>
      <c r="F140" s="6" t="n">
        <f aca="false">F139+D140</f>
        <v>2352201</v>
      </c>
    </row>
    <row r="141" customFormat="false" ht="15" hidden="false" customHeight="false" outlineLevel="0" collapsed="false">
      <c r="A141" s="5" t="s">
        <v>166</v>
      </c>
      <c r="B141" s="6" t="n">
        <v>878</v>
      </c>
      <c r="C141" s="6" t="n">
        <v>-14538</v>
      </c>
      <c r="D141" s="6" t="n">
        <f aca="false">B141+C141</f>
        <v>-13660</v>
      </c>
      <c r="E141" s="7" t="n">
        <f aca="false">D141/750000</f>
        <v>-0.0182133333333333</v>
      </c>
      <c r="F141" s="6" t="n">
        <f aca="false">F140+D141</f>
        <v>2338541</v>
      </c>
    </row>
    <row r="142" customFormat="false" ht="15" hidden="false" customHeight="false" outlineLevel="0" collapsed="false">
      <c r="A142" s="5" t="s">
        <v>167</v>
      </c>
      <c r="B142" s="6" t="n">
        <v>-4742</v>
      </c>
      <c r="C142" s="6" t="n">
        <v>51</v>
      </c>
      <c r="D142" s="6" t="n">
        <f aca="false">B142+C142</f>
        <v>-4691</v>
      </c>
      <c r="E142" s="7" t="n">
        <f aca="false">D142/750000</f>
        <v>-0.00625466666666667</v>
      </c>
      <c r="F142" s="6" t="n">
        <f aca="false">F141+D142</f>
        <v>2333850</v>
      </c>
    </row>
    <row r="143" customFormat="false" ht="15" hidden="false" customHeight="false" outlineLevel="0" collapsed="false">
      <c r="A143" s="5" t="s">
        <v>168</v>
      </c>
      <c r="B143" s="6" t="n">
        <v>-1924</v>
      </c>
      <c r="C143" s="6" t="n">
        <v>-6344</v>
      </c>
      <c r="D143" s="6" t="n">
        <f aca="false">B143+C143</f>
        <v>-8268</v>
      </c>
      <c r="E143" s="7" t="n">
        <f aca="false">D143/750000</f>
        <v>-0.011024</v>
      </c>
      <c r="F143" s="6" t="n">
        <f aca="false">F142+D143</f>
        <v>2325582</v>
      </c>
    </row>
    <row r="144" customFormat="false" ht="15" hidden="false" customHeight="false" outlineLevel="0" collapsed="false">
      <c r="A144" s="5" t="s">
        <v>169</v>
      </c>
      <c r="B144" s="6" t="n">
        <v>9313</v>
      </c>
      <c r="C144" s="6" t="n">
        <v>-2889</v>
      </c>
      <c r="D144" s="6" t="n">
        <f aca="false">B144+C144</f>
        <v>6424</v>
      </c>
      <c r="E144" s="7" t="n">
        <f aca="false">D144/750000</f>
        <v>0.00856533333333333</v>
      </c>
      <c r="F144" s="6" t="n">
        <f aca="false">F143+D144</f>
        <v>2332006</v>
      </c>
    </row>
    <row r="145" customFormat="false" ht="15" hidden="false" customHeight="false" outlineLevel="0" collapsed="false">
      <c r="A145" s="5" t="s">
        <v>170</v>
      </c>
      <c r="B145" s="6" t="n">
        <v>6175</v>
      </c>
      <c r="C145" s="6" t="n">
        <v>2933</v>
      </c>
      <c r="D145" s="6" t="n">
        <f aca="false">B145+C145</f>
        <v>9108</v>
      </c>
      <c r="E145" s="7" t="n">
        <f aca="false">D145/750000</f>
        <v>0.012144</v>
      </c>
      <c r="F145" s="6" t="n">
        <f aca="false">F144+D145</f>
        <v>2341114</v>
      </c>
    </row>
    <row r="146" customFormat="false" ht="15" hidden="false" customHeight="false" outlineLevel="0" collapsed="false">
      <c r="A146" s="5" t="s">
        <v>171</v>
      </c>
      <c r="B146" s="6" t="n">
        <v>10985</v>
      </c>
      <c r="C146" s="6" t="n">
        <v>1295</v>
      </c>
      <c r="D146" s="6" t="n">
        <f aca="false">B146+C146</f>
        <v>12280</v>
      </c>
      <c r="E146" s="7" t="n">
        <f aca="false">D146/750000</f>
        <v>0.0163733333333333</v>
      </c>
      <c r="F146" s="6" t="n">
        <f aca="false">F145+D146</f>
        <v>2353394</v>
      </c>
    </row>
    <row r="147" customFormat="false" ht="15" hidden="false" customHeight="false" outlineLevel="0" collapsed="false">
      <c r="A147" s="5" t="s">
        <v>172</v>
      </c>
      <c r="B147" s="6" t="n">
        <v>14841</v>
      </c>
      <c r="C147" s="6" t="n">
        <v>-6072</v>
      </c>
      <c r="D147" s="6" t="n">
        <f aca="false">B147+C147</f>
        <v>8769</v>
      </c>
      <c r="E147" s="7" t="n">
        <f aca="false">D147/750000</f>
        <v>0.011692</v>
      </c>
      <c r="F147" s="6" t="n">
        <f aca="false">F146+D147</f>
        <v>2362163</v>
      </c>
    </row>
    <row r="148" customFormat="false" ht="15" hidden="false" customHeight="false" outlineLevel="0" collapsed="false">
      <c r="A148" s="5" t="s">
        <v>173</v>
      </c>
      <c r="B148" s="6" t="n">
        <v>35466</v>
      </c>
      <c r="C148" s="6" t="n">
        <v>6907</v>
      </c>
      <c r="D148" s="6" t="n">
        <f aca="false">B148+C148</f>
        <v>42373</v>
      </c>
      <c r="E148" s="7" t="n">
        <f aca="false">D148/750000</f>
        <v>0.0564973333333333</v>
      </c>
      <c r="F148" s="6" t="n">
        <f aca="false">F147+D148</f>
        <v>2404536</v>
      </c>
    </row>
    <row r="149" customFormat="false" ht="15" hidden="false" customHeight="false" outlineLevel="0" collapsed="false">
      <c r="A149" s="5" t="s">
        <v>174</v>
      </c>
      <c r="B149" s="6" t="n">
        <v>22512</v>
      </c>
      <c r="C149" s="6" t="n">
        <v>31616</v>
      </c>
      <c r="D149" s="6" t="n">
        <f aca="false">B149+C149</f>
        <v>54128</v>
      </c>
      <c r="E149" s="7" t="n">
        <f aca="false">D149/750000</f>
        <v>0.0721706666666667</v>
      </c>
      <c r="F149" s="6" t="n">
        <f aca="false">F148+D149</f>
        <v>2458664</v>
      </c>
    </row>
    <row r="150" customFormat="false" ht="15" hidden="false" customHeight="false" outlineLevel="0" collapsed="false">
      <c r="A150" s="5" t="s">
        <v>175</v>
      </c>
      <c r="B150" s="6" t="n">
        <v>-11431</v>
      </c>
      <c r="C150" s="6" t="n">
        <v>9300</v>
      </c>
      <c r="D150" s="6" t="n">
        <f aca="false">B150+C150</f>
        <v>-2131</v>
      </c>
      <c r="E150" s="7" t="n">
        <f aca="false">D150/750000</f>
        <v>-0.00284133333333333</v>
      </c>
      <c r="F150" s="6" t="n">
        <f aca="false">F149+D150</f>
        <v>2456533</v>
      </c>
    </row>
    <row r="151" customFormat="false" ht="15" hidden="false" customHeight="false" outlineLevel="0" collapsed="false">
      <c r="A151" s="5" t="s">
        <v>176</v>
      </c>
      <c r="B151" s="6" t="n">
        <v>-13676</v>
      </c>
      <c r="C151" s="6" t="n">
        <v>13435</v>
      </c>
      <c r="D151" s="6" t="n">
        <f aca="false">B151+C151</f>
        <v>-241</v>
      </c>
      <c r="E151" s="7" t="n">
        <f aca="false">D151/750000</f>
        <v>-0.000321333333333333</v>
      </c>
      <c r="F151" s="6" t="n">
        <f aca="false">F150+D151</f>
        <v>2456292</v>
      </c>
    </row>
    <row r="152" customFormat="false" ht="15" hidden="false" customHeight="false" outlineLevel="0" collapsed="false">
      <c r="A152" s="5" t="s">
        <v>177</v>
      </c>
      <c r="B152" s="6" t="n">
        <v>-7755</v>
      </c>
      <c r="C152" s="6" t="n">
        <v>25639</v>
      </c>
      <c r="D152" s="6" t="n">
        <f aca="false">B152+C152</f>
        <v>17884</v>
      </c>
      <c r="E152" s="7" t="n">
        <f aca="false">D152/750000</f>
        <v>0.0238453333333333</v>
      </c>
      <c r="F152" s="6" t="n">
        <f aca="false">F151+D152</f>
        <v>2474176</v>
      </c>
    </row>
    <row r="153" customFormat="false" ht="15" hidden="false" customHeight="false" outlineLevel="0" collapsed="false">
      <c r="A153" s="5" t="s">
        <v>178</v>
      </c>
      <c r="B153" s="6" t="n">
        <v>14963</v>
      </c>
      <c r="C153" s="6" t="n">
        <v>-12895</v>
      </c>
      <c r="D153" s="6" t="n">
        <f aca="false">B153+C153</f>
        <v>2068</v>
      </c>
      <c r="E153" s="7" t="n">
        <f aca="false">D153/750000</f>
        <v>0.00275733333333333</v>
      </c>
      <c r="F153" s="6" t="n">
        <f aca="false">F152+D153</f>
        <v>2476244</v>
      </c>
    </row>
    <row r="154" customFormat="false" ht="15" hidden="false" customHeight="false" outlineLevel="0" collapsed="false">
      <c r="A154" s="5" t="s">
        <v>179</v>
      </c>
      <c r="B154" s="6" t="n">
        <v>12777</v>
      </c>
      <c r="C154" s="6" t="n">
        <v>3908</v>
      </c>
      <c r="D154" s="6" t="n">
        <f aca="false">B154+C154</f>
        <v>16685</v>
      </c>
      <c r="E154" s="7" t="n">
        <f aca="false">D154/750000</f>
        <v>0.0222466666666667</v>
      </c>
      <c r="F154" s="6" t="n">
        <f aca="false">F153+D154</f>
        <v>2492929</v>
      </c>
    </row>
    <row r="155" customFormat="false" ht="15" hidden="false" customHeight="false" outlineLevel="0" collapsed="false">
      <c r="A155" s="5" t="s">
        <v>180</v>
      </c>
      <c r="B155" s="6" t="n">
        <v>-2651</v>
      </c>
      <c r="C155" s="6" t="n">
        <v>4757</v>
      </c>
      <c r="D155" s="6" t="n">
        <f aca="false">B155+C155</f>
        <v>2106</v>
      </c>
      <c r="E155" s="7" t="n">
        <f aca="false">D155/750000</f>
        <v>0.002808</v>
      </c>
      <c r="F155" s="6" t="n">
        <f aca="false">F154+D155</f>
        <v>2495035</v>
      </c>
    </row>
    <row r="156" customFormat="false" ht="15" hidden="false" customHeight="false" outlineLevel="0" collapsed="false">
      <c r="A156" s="5" t="s">
        <v>181</v>
      </c>
      <c r="B156" s="6" t="n">
        <v>8013</v>
      </c>
      <c r="C156" s="6" t="n">
        <v>11823</v>
      </c>
      <c r="D156" s="6" t="n">
        <f aca="false">B156+C156</f>
        <v>19836</v>
      </c>
      <c r="E156" s="7" t="n">
        <f aca="false">D156/750000</f>
        <v>0.026448</v>
      </c>
      <c r="F156" s="6" t="n">
        <f aca="false">F155+D156</f>
        <v>2514871</v>
      </c>
    </row>
    <row r="157" customFormat="false" ht="15" hidden="false" customHeight="false" outlineLevel="0" collapsed="false">
      <c r="A157" s="5" t="s">
        <v>182</v>
      </c>
      <c r="B157" s="6" t="n">
        <v>2436</v>
      </c>
      <c r="C157" s="6" t="n">
        <v>10661</v>
      </c>
      <c r="D157" s="6" t="n">
        <f aca="false">B157+C157</f>
        <v>13097</v>
      </c>
      <c r="E157" s="7" t="n">
        <f aca="false">D157/750000</f>
        <v>0.0174626666666667</v>
      </c>
      <c r="F157" s="6" t="n">
        <f aca="false">F156+D157</f>
        <v>2527968</v>
      </c>
    </row>
    <row r="158" customFormat="false" ht="15" hidden="false" customHeight="false" outlineLevel="0" collapsed="false">
      <c r="A158" s="5" t="s">
        <v>183</v>
      </c>
      <c r="B158" s="6" t="n">
        <v>12790</v>
      </c>
      <c r="C158" s="6" t="n">
        <v>0</v>
      </c>
      <c r="D158" s="6" t="n">
        <f aca="false">B158+C158</f>
        <v>12790</v>
      </c>
      <c r="E158" s="7" t="n">
        <f aca="false">D158/750000</f>
        <v>0.0170533333333333</v>
      </c>
      <c r="F158" s="6" t="n">
        <f aca="false">F157+D158</f>
        <v>2540758</v>
      </c>
    </row>
    <row r="159" customFormat="false" ht="15" hidden="false" customHeight="false" outlineLevel="0" collapsed="false">
      <c r="A159" s="5" t="s">
        <v>184</v>
      </c>
      <c r="B159" s="8" t="n">
        <f aca="false">SUM(B2:B158)</f>
        <v>1363047</v>
      </c>
      <c r="C159" s="8" t="n">
        <f aca="false">SUM(C2:C158)</f>
        <v>1177711</v>
      </c>
      <c r="D159" s="8" t="n">
        <f aca="false">SUM(D2:D158)</f>
        <v>2540758</v>
      </c>
    </row>
    <row r="161" customFormat="false" ht="15" hidden="false" customHeight="false" outlineLevel="0" collapsed="false">
      <c r="A161" s="9" t="s">
        <v>185</v>
      </c>
    </row>
  </sheetData>
  <conditionalFormatting sqref="D2:D15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4"/>
  </cols>
  <sheetData>
    <row r="1" customFormat="false" ht="26.85" hidden="false" customHeight="false" outlineLevel="0" collapsed="false">
      <c r="A1" s="4" t="s">
        <v>186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</row>
    <row r="2" customFormat="false" ht="15" hidden="false" customHeight="false" outlineLevel="0" collapsed="false">
      <c r="A2" s="5" t="s">
        <v>187</v>
      </c>
      <c r="B2" s="6" t="n">
        <v>8677</v>
      </c>
      <c r="C2" s="6" t="n">
        <v>-4862</v>
      </c>
      <c r="D2" s="6" t="n">
        <f aca="false">B2+C2</f>
        <v>3815</v>
      </c>
      <c r="E2" s="7" t="n">
        <f aca="false">D2/750000</f>
        <v>0.00508666666666667</v>
      </c>
      <c r="F2" s="6" t="n">
        <f aca="false">D2</f>
        <v>3815</v>
      </c>
    </row>
    <row r="3" customFormat="false" ht="15" hidden="false" customHeight="false" outlineLevel="0" collapsed="false">
      <c r="A3" s="5" t="s">
        <v>188</v>
      </c>
      <c r="B3" s="6" t="n">
        <v>38065</v>
      </c>
      <c r="C3" s="6" t="n">
        <v>55273</v>
      </c>
      <c r="D3" s="6" t="n">
        <f aca="false">B3+C3</f>
        <v>93338</v>
      </c>
      <c r="E3" s="7" t="n">
        <f aca="false">D3/750000</f>
        <v>0.124450666666667</v>
      </c>
      <c r="F3" s="6" t="n">
        <f aca="false">F2+D3</f>
        <v>97153</v>
      </c>
    </row>
    <row r="4" customFormat="false" ht="15" hidden="false" customHeight="false" outlineLevel="0" collapsed="false">
      <c r="A4" s="5" t="s">
        <v>189</v>
      </c>
      <c r="B4" s="6" t="n">
        <v>-13113</v>
      </c>
      <c r="C4" s="6" t="n">
        <v>49805</v>
      </c>
      <c r="D4" s="6" t="n">
        <f aca="false">B4+C4</f>
        <v>36692</v>
      </c>
      <c r="E4" s="7" t="n">
        <f aca="false">D4/750000</f>
        <v>0.0489226666666667</v>
      </c>
      <c r="F4" s="6" t="n">
        <f aca="false">F3+D4</f>
        <v>133845</v>
      </c>
    </row>
    <row r="5" customFormat="false" ht="15" hidden="false" customHeight="false" outlineLevel="0" collapsed="false">
      <c r="A5" s="5" t="s">
        <v>190</v>
      </c>
      <c r="B5" s="6" t="n">
        <v>16293</v>
      </c>
      <c r="C5" s="6" t="n">
        <v>32501</v>
      </c>
      <c r="D5" s="6" t="n">
        <f aca="false">B5+C5</f>
        <v>48794</v>
      </c>
      <c r="E5" s="7" t="n">
        <f aca="false">D5/750000</f>
        <v>0.0650586666666667</v>
      </c>
      <c r="F5" s="6" t="n">
        <f aca="false">F4+D5</f>
        <v>182639</v>
      </c>
    </row>
    <row r="6" customFormat="false" ht="15" hidden="false" customHeight="false" outlineLevel="0" collapsed="false">
      <c r="A6" s="5" t="s">
        <v>191</v>
      </c>
      <c r="B6" s="6" t="n">
        <v>75858</v>
      </c>
      <c r="C6" s="6" t="n">
        <v>34323</v>
      </c>
      <c r="D6" s="6" t="n">
        <f aca="false">B6+C6</f>
        <v>110181</v>
      </c>
      <c r="E6" s="7" t="n">
        <f aca="false">D6/750000</f>
        <v>0.146908</v>
      </c>
      <c r="F6" s="6" t="n">
        <f aca="false">F5+D6</f>
        <v>292820</v>
      </c>
    </row>
    <row r="7" customFormat="false" ht="15" hidden="false" customHeight="false" outlineLevel="0" collapsed="false">
      <c r="A7" s="5" t="s">
        <v>192</v>
      </c>
      <c r="B7" s="6" t="n">
        <v>-5566</v>
      </c>
      <c r="C7" s="6" t="n">
        <v>40935</v>
      </c>
      <c r="D7" s="6" t="n">
        <f aca="false">B7+C7</f>
        <v>35369</v>
      </c>
      <c r="E7" s="7" t="n">
        <f aca="false">D7/750000</f>
        <v>0.0471586666666667</v>
      </c>
      <c r="F7" s="6" t="n">
        <f aca="false">F6+D7</f>
        <v>328189</v>
      </c>
    </row>
    <row r="8" customFormat="false" ht="15" hidden="false" customHeight="false" outlineLevel="0" collapsed="false">
      <c r="A8" s="5" t="s">
        <v>193</v>
      </c>
      <c r="B8" s="6" t="n">
        <v>-25032</v>
      </c>
      <c r="C8" s="6" t="n">
        <v>2348</v>
      </c>
      <c r="D8" s="6" t="n">
        <f aca="false">B8+C8</f>
        <v>-22684</v>
      </c>
      <c r="E8" s="7" t="n">
        <f aca="false">D8/750000</f>
        <v>-0.0302453333333333</v>
      </c>
      <c r="F8" s="6" t="n">
        <f aca="false">F7+D8</f>
        <v>305505</v>
      </c>
    </row>
    <row r="9" customFormat="false" ht="15" hidden="false" customHeight="false" outlineLevel="0" collapsed="false">
      <c r="A9" s="5" t="s">
        <v>194</v>
      </c>
      <c r="B9" s="6" t="n">
        <v>41395</v>
      </c>
      <c r="C9" s="6" t="n">
        <v>181896</v>
      </c>
      <c r="D9" s="6" t="n">
        <f aca="false">B9+C9</f>
        <v>223291</v>
      </c>
      <c r="E9" s="7" t="n">
        <f aca="false">D9/750000</f>
        <v>0.297721333333333</v>
      </c>
      <c r="F9" s="6" t="n">
        <f aca="false">F8+D9</f>
        <v>528796</v>
      </c>
    </row>
    <row r="10" customFormat="false" ht="15" hidden="false" customHeight="false" outlineLevel="0" collapsed="false">
      <c r="A10" s="5" t="s">
        <v>195</v>
      </c>
      <c r="B10" s="6" t="n">
        <v>121355</v>
      </c>
      <c r="C10" s="6" t="n">
        <v>56230</v>
      </c>
      <c r="D10" s="6" t="n">
        <f aca="false">B10+C10</f>
        <v>177585</v>
      </c>
      <c r="E10" s="7" t="n">
        <f aca="false">D10/750000</f>
        <v>0.23678</v>
      </c>
      <c r="F10" s="6" t="n">
        <f aca="false">F9+D10</f>
        <v>706381</v>
      </c>
    </row>
    <row r="11" customFormat="false" ht="15" hidden="false" customHeight="false" outlineLevel="0" collapsed="false">
      <c r="A11" s="5" t="s">
        <v>196</v>
      </c>
      <c r="B11" s="6" t="n">
        <v>18750</v>
      </c>
      <c r="C11" s="6" t="n">
        <v>32316</v>
      </c>
      <c r="D11" s="6" t="n">
        <f aca="false">B11+C11</f>
        <v>51066</v>
      </c>
      <c r="E11" s="7" t="n">
        <f aca="false">D11/750000</f>
        <v>0.068088</v>
      </c>
      <c r="F11" s="6" t="n">
        <f aca="false">F10+D11</f>
        <v>757447</v>
      </c>
    </row>
    <row r="12" customFormat="false" ht="15" hidden="false" customHeight="false" outlineLevel="0" collapsed="false">
      <c r="A12" s="5" t="s">
        <v>197</v>
      </c>
      <c r="B12" s="6" t="n">
        <v>66552</v>
      </c>
      <c r="C12" s="6" t="n">
        <v>91019</v>
      </c>
      <c r="D12" s="6" t="n">
        <f aca="false">B12+C12</f>
        <v>157571</v>
      </c>
      <c r="E12" s="7" t="n">
        <f aca="false">D12/750000</f>
        <v>0.210094666666667</v>
      </c>
      <c r="F12" s="6" t="n">
        <f aca="false">F11+D12</f>
        <v>915018</v>
      </c>
    </row>
    <row r="13" customFormat="false" ht="15" hidden="false" customHeight="false" outlineLevel="0" collapsed="false">
      <c r="A13" s="5" t="s">
        <v>198</v>
      </c>
      <c r="B13" s="6" t="n">
        <v>26586</v>
      </c>
      <c r="C13" s="6" t="n">
        <v>47366</v>
      </c>
      <c r="D13" s="6" t="n">
        <f aca="false">B13+C13</f>
        <v>73952</v>
      </c>
      <c r="E13" s="7" t="n">
        <f aca="false">D13/750000</f>
        <v>0.0986026666666667</v>
      </c>
      <c r="F13" s="6" t="n">
        <f aca="false">F12+D13</f>
        <v>988970</v>
      </c>
    </row>
    <row r="14" customFormat="false" ht="15" hidden="false" customHeight="false" outlineLevel="0" collapsed="false">
      <c r="A14" s="5" t="s">
        <v>199</v>
      </c>
      <c r="B14" s="6" t="n">
        <v>33098</v>
      </c>
      <c r="C14" s="6" t="n">
        <v>-4517</v>
      </c>
      <c r="D14" s="6" t="n">
        <f aca="false">B14+C14</f>
        <v>28581</v>
      </c>
      <c r="E14" s="7" t="n">
        <f aca="false">D14/750000</f>
        <v>0.038108</v>
      </c>
      <c r="F14" s="6" t="n">
        <f aca="false">F13+D14</f>
        <v>1017551</v>
      </c>
    </row>
    <row r="15" customFormat="false" ht="15" hidden="false" customHeight="false" outlineLevel="0" collapsed="false">
      <c r="A15" s="5" t="s">
        <v>200</v>
      </c>
      <c r="B15" s="6" t="n">
        <v>87828</v>
      </c>
      <c r="C15" s="6" t="n">
        <v>4328</v>
      </c>
      <c r="D15" s="6" t="n">
        <f aca="false">B15+C15</f>
        <v>92156</v>
      </c>
      <c r="E15" s="7" t="n">
        <f aca="false">D15/750000</f>
        <v>0.122874666666667</v>
      </c>
      <c r="F15" s="6" t="n">
        <f aca="false">F14+D15</f>
        <v>1109707</v>
      </c>
    </row>
    <row r="16" customFormat="false" ht="15" hidden="false" customHeight="false" outlineLevel="0" collapsed="false">
      <c r="A16" s="5" t="s">
        <v>201</v>
      </c>
      <c r="B16" s="6" t="n">
        <v>21570</v>
      </c>
      <c r="C16" s="6" t="n">
        <v>21609</v>
      </c>
      <c r="D16" s="6" t="n">
        <f aca="false">B16+C16</f>
        <v>43179</v>
      </c>
      <c r="E16" s="7" t="n">
        <f aca="false">D16/750000</f>
        <v>0.057572</v>
      </c>
      <c r="F16" s="6" t="n">
        <f aca="false">F15+D16</f>
        <v>1152886</v>
      </c>
    </row>
    <row r="17" customFormat="false" ht="15" hidden="false" customHeight="false" outlineLevel="0" collapsed="false">
      <c r="A17" s="5" t="s">
        <v>202</v>
      </c>
      <c r="B17" s="6" t="n">
        <v>102322</v>
      </c>
      <c r="C17" s="6" t="n">
        <v>12342</v>
      </c>
      <c r="D17" s="6" t="n">
        <f aca="false">B17+C17</f>
        <v>114664</v>
      </c>
      <c r="E17" s="7" t="n">
        <f aca="false">D17/750000</f>
        <v>0.152885333333333</v>
      </c>
      <c r="F17" s="6" t="n">
        <f aca="false">F16+D17</f>
        <v>1267550</v>
      </c>
    </row>
    <row r="18" customFormat="false" ht="15" hidden="false" customHeight="false" outlineLevel="0" collapsed="false">
      <c r="A18" s="5" t="s">
        <v>203</v>
      </c>
      <c r="B18" s="6" t="n">
        <v>71731</v>
      </c>
      <c r="C18" s="6" t="n">
        <v>26344</v>
      </c>
      <c r="D18" s="6" t="n">
        <f aca="false">B18+C18</f>
        <v>98075</v>
      </c>
      <c r="E18" s="7" t="n">
        <f aca="false">D18/750000</f>
        <v>0.130766666666667</v>
      </c>
      <c r="F18" s="6" t="n">
        <f aca="false">F17+D18</f>
        <v>1365625</v>
      </c>
    </row>
    <row r="19" customFormat="false" ht="15" hidden="false" customHeight="false" outlineLevel="0" collapsed="false">
      <c r="A19" s="5" t="s">
        <v>204</v>
      </c>
      <c r="B19" s="6" t="n">
        <v>3516</v>
      </c>
      <c r="C19" s="6" t="n">
        <v>48204</v>
      </c>
      <c r="D19" s="6" t="n">
        <f aca="false">B19+C19</f>
        <v>51720</v>
      </c>
      <c r="E19" s="7" t="n">
        <f aca="false">D19/750000</f>
        <v>0.06896</v>
      </c>
      <c r="F19" s="6" t="n">
        <f aca="false">F18+D19</f>
        <v>1417345</v>
      </c>
    </row>
    <row r="20" customFormat="false" ht="15" hidden="false" customHeight="false" outlineLevel="0" collapsed="false">
      <c r="A20" s="5" t="s">
        <v>205</v>
      </c>
      <c r="B20" s="6" t="n">
        <v>100827</v>
      </c>
      <c r="C20" s="6" t="n">
        <v>96818</v>
      </c>
      <c r="D20" s="6" t="n">
        <f aca="false">B20+C20</f>
        <v>197645</v>
      </c>
      <c r="E20" s="7" t="n">
        <f aca="false">D20/750000</f>
        <v>0.263526666666667</v>
      </c>
      <c r="F20" s="6" t="n">
        <f aca="false">F19+D20</f>
        <v>1614990</v>
      </c>
    </row>
    <row r="21" customFormat="false" ht="15" hidden="false" customHeight="false" outlineLevel="0" collapsed="false">
      <c r="A21" s="5" t="s">
        <v>206</v>
      </c>
      <c r="B21" s="6" t="n">
        <v>29646</v>
      </c>
      <c r="C21" s="6" t="n">
        <v>7184</v>
      </c>
      <c r="D21" s="6" t="n">
        <f aca="false">B21+C21</f>
        <v>36830</v>
      </c>
      <c r="E21" s="7" t="n">
        <f aca="false">D21/750000</f>
        <v>0.0491066666666667</v>
      </c>
      <c r="F21" s="6" t="n">
        <f aca="false">F20+D21</f>
        <v>1651820</v>
      </c>
    </row>
    <row r="22" customFormat="false" ht="15" hidden="false" customHeight="false" outlineLevel="0" collapsed="false">
      <c r="A22" s="5" t="s">
        <v>207</v>
      </c>
      <c r="B22" s="6" t="n">
        <v>30222</v>
      </c>
      <c r="C22" s="6" t="n">
        <v>66284</v>
      </c>
      <c r="D22" s="6" t="n">
        <f aca="false">B22+C22</f>
        <v>96506</v>
      </c>
      <c r="E22" s="7" t="n">
        <f aca="false">D22/750000</f>
        <v>0.128674666666667</v>
      </c>
      <c r="F22" s="6" t="n">
        <f aca="false">F21+D22</f>
        <v>1748326</v>
      </c>
    </row>
    <row r="23" customFormat="false" ht="15" hidden="false" customHeight="false" outlineLevel="0" collapsed="false">
      <c r="A23" s="5" t="s">
        <v>208</v>
      </c>
      <c r="B23" s="6" t="n">
        <v>21506</v>
      </c>
      <c r="C23" s="6" t="n">
        <v>37017</v>
      </c>
      <c r="D23" s="6" t="n">
        <f aca="false">B23+C23</f>
        <v>58523</v>
      </c>
      <c r="E23" s="7" t="n">
        <f aca="false">D23/750000</f>
        <v>0.0780306666666667</v>
      </c>
      <c r="F23" s="6" t="n">
        <f aca="false">F22+D23</f>
        <v>1806849</v>
      </c>
    </row>
    <row r="24" customFormat="false" ht="15" hidden="false" customHeight="false" outlineLevel="0" collapsed="false">
      <c r="A24" s="5" t="s">
        <v>209</v>
      </c>
      <c r="B24" s="6" t="n">
        <v>-27787</v>
      </c>
      <c r="C24" s="6" t="n">
        <v>19563</v>
      </c>
      <c r="D24" s="6" t="n">
        <f aca="false">B24+C24</f>
        <v>-8224</v>
      </c>
      <c r="E24" s="7" t="n">
        <f aca="false">D24/750000</f>
        <v>-0.0109653333333333</v>
      </c>
      <c r="F24" s="6" t="n">
        <f aca="false">F23+D24</f>
        <v>1798625</v>
      </c>
    </row>
    <row r="25" customFormat="false" ht="15" hidden="false" customHeight="false" outlineLevel="0" collapsed="false">
      <c r="A25" s="5" t="s">
        <v>210</v>
      </c>
      <c r="B25" s="6" t="n">
        <v>12961</v>
      </c>
      <c r="C25" s="6" t="n">
        <v>32312</v>
      </c>
      <c r="D25" s="6" t="n">
        <f aca="false">B25+C25</f>
        <v>45273</v>
      </c>
      <c r="E25" s="7" t="n">
        <f aca="false">D25/750000</f>
        <v>0.060364</v>
      </c>
      <c r="F25" s="6" t="n">
        <f aca="false">F24+D25</f>
        <v>1843898</v>
      </c>
    </row>
    <row r="26" customFormat="false" ht="15" hidden="false" customHeight="false" outlineLevel="0" collapsed="false">
      <c r="A26" s="5" t="s">
        <v>211</v>
      </c>
      <c r="B26" s="6" t="n">
        <v>502</v>
      </c>
      <c r="C26" s="6" t="n">
        <v>14680</v>
      </c>
      <c r="D26" s="6" t="n">
        <f aca="false">B26+C26</f>
        <v>15182</v>
      </c>
      <c r="E26" s="7" t="n">
        <f aca="false">D26/750000</f>
        <v>0.0202426666666667</v>
      </c>
      <c r="F26" s="6" t="n">
        <f aca="false">F25+D26</f>
        <v>1859080</v>
      </c>
    </row>
    <row r="27" customFormat="false" ht="15" hidden="false" customHeight="false" outlineLevel="0" collapsed="false">
      <c r="A27" s="5" t="s">
        <v>212</v>
      </c>
      <c r="B27" s="6" t="n">
        <v>6154</v>
      </c>
      <c r="C27" s="6" t="n">
        <v>20712</v>
      </c>
      <c r="D27" s="6" t="n">
        <f aca="false">B27+C27</f>
        <v>26866</v>
      </c>
      <c r="E27" s="7" t="n">
        <f aca="false">D27/750000</f>
        <v>0.0358213333333333</v>
      </c>
      <c r="F27" s="6" t="n">
        <f aca="false">F26+D27</f>
        <v>1885946</v>
      </c>
    </row>
    <row r="28" customFormat="false" ht="15" hidden="false" customHeight="false" outlineLevel="0" collapsed="false">
      <c r="A28" s="5" t="s">
        <v>213</v>
      </c>
      <c r="B28" s="6" t="n">
        <v>35476</v>
      </c>
      <c r="C28" s="6" t="n">
        <v>20953</v>
      </c>
      <c r="D28" s="6" t="n">
        <f aca="false">B28+C28</f>
        <v>56429</v>
      </c>
      <c r="E28" s="7" t="n">
        <f aca="false">D28/750000</f>
        <v>0.0752386666666667</v>
      </c>
      <c r="F28" s="6" t="n">
        <f aca="false">F27+D28</f>
        <v>1942375</v>
      </c>
    </row>
    <row r="29" customFormat="false" ht="15" hidden="false" customHeight="false" outlineLevel="0" collapsed="false">
      <c r="A29" s="5" t="s">
        <v>214</v>
      </c>
      <c r="B29" s="6" t="n">
        <v>17717</v>
      </c>
      <c r="C29" s="6" t="n">
        <v>20778</v>
      </c>
      <c r="D29" s="6" t="n">
        <f aca="false">B29+C29</f>
        <v>38495</v>
      </c>
      <c r="E29" s="7" t="n">
        <f aca="false">D29/750000</f>
        <v>0.0513266666666667</v>
      </c>
      <c r="F29" s="6" t="n">
        <f aca="false">F28+D29</f>
        <v>1980870</v>
      </c>
    </row>
    <row r="30" customFormat="false" ht="15" hidden="false" customHeight="false" outlineLevel="0" collapsed="false">
      <c r="A30" s="5" t="s">
        <v>215</v>
      </c>
      <c r="B30" s="6" t="n">
        <v>148542</v>
      </c>
      <c r="C30" s="6" t="n">
        <v>4707</v>
      </c>
      <c r="D30" s="6" t="n">
        <f aca="false">B30+C30</f>
        <v>153249</v>
      </c>
      <c r="E30" s="7" t="n">
        <f aca="false">D30/750000</f>
        <v>0.204332</v>
      </c>
      <c r="F30" s="6" t="n">
        <f aca="false">F29+D30</f>
        <v>2134119</v>
      </c>
    </row>
    <row r="31" customFormat="false" ht="15" hidden="false" customHeight="false" outlineLevel="0" collapsed="false">
      <c r="A31" s="5" t="s">
        <v>216</v>
      </c>
      <c r="B31" s="6" t="n">
        <v>83592</v>
      </c>
      <c r="C31" s="6" t="n">
        <v>18773</v>
      </c>
      <c r="D31" s="6" t="n">
        <f aca="false">B31+C31</f>
        <v>102365</v>
      </c>
      <c r="E31" s="7" t="n">
        <f aca="false">D31/750000</f>
        <v>0.136486666666667</v>
      </c>
      <c r="F31" s="6" t="n">
        <f aca="false">F30+D31</f>
        <v>2236484</v>
      </c>
    </row>
    <row r="32" customFormat="false" ht="15" hidden="false" customHeight="false" outlineLevel="0" collapsed="false">
      <c r="A32" s="5" t="s">
        <v>217</v>
      </c>
      <c r="B32" s="6" t="n">
        <v>83560</v>
      </c>
      <c r="C32" s="6" t="n">
        <v>47129</v>
      </c>
      <c r="D32" s="6" t="n">
        <f aca="false">B32+C32</f>
        <v>130689</v>
      </c>
      <c r="E32" s="7" t="n">
        <f aca="false">D32/750000</f>
        <v>0.174252</v>
      </c>
      <c r="F32" s="6" t="n">
        <f aca="false">F31+D32</f>
        <v>2367173</v>
      </c>
    </row>
    <row r="33" customFormat="false" ht="15" hidden="false" customHeight="false" outlineLevel="0" collapsed="false">
      <c r="A33" s="5" t="s">
        <v>218</v>
      </c>
      <c r="B33" s="6" t="n">
        <v>-7099</v>
      </c>
      <c r="C33" s="6" t="n">
        <v>-5262</v>
      </c>
      <c r="D33" s="6" t="n">
        <f aca="false">B33+C33</f>
        <v>-12361</v>
      </c>
      <c r="E33" s="7" t="n">
        <f aca="false">D33/750000</f>
        <v>-0.0164813333333333</v>
      </c>
      <c r="F33" s="6" t="n">
        <f aca="false">F32+D33</f>
        <v>2354812</v>
      </c>
    </row>
    <row r="34" customFormat="false" ht="15" hidden="false" customHeight="false" outlineLevel="0" collapsed="false">
      <c r="A34" s="5" t="s">
        <v>219</v>
      </c>
      <c r="B34" s="6" t="n">
        <v>24509</v>
      </c>
      <c r="C34" s="6" t="n">
        <v>-45522</v>
      </c>
      <c r="D34" s="6" t="n">
        <f aca="false">B34+C34</f>
        <v>-21013</v>
      </c>
      <c r="E34" s="7" t="n">
        <f aca="false">D34/750000</f>
        <v>-0.0280173333333333</v>
      </c>
      <c r="F34" s="6" t="n">
        <f aca="false">F33+D34</f>
        <v>2333799</v>
      </c>
    </row>
    <row r="35" customFormat="false" ht="15" hidden="false" customHeight="false" outlineLevel="0" collapsed="false">
      <c r="A35" s="5" t="s">
        <v>220</v>
      </c>
      <c r="B35" s="6" t="n">
        <v>24549</v>
      </c>
      <c r="C35" s="6" t="n">
        <v>-4954</v>
      </c>
      <c r="D35" s="6" t="n">
        <f aca="false">B35+C35</f>
        <v>19595</v>
      </c>
      <c r="E35" s="7" t="n">
        <f aca="false">D35/750000</f>
        <v>0.0261266666666667</v>
      </c>
      <c r="F35" s="6" t="n">
        <f aca="false">F34+D35</f>
        <v>2353394</v>
      </c>
    </row>
    <row r="36" customFormat="false" ht="15" hidden="false" customHeight="false" outlineLevel="0" collapsed="false">
      <c r="A36" s="5" t="s">
        <v>221</v>
      </c>
      <c r="B36" s="6" t="n">
        <v>61388</v>
      </c>
      <c r="C36" s="6" t="n">
        <v>41751</v>
      </c>
      <c r="D36" s="6" t="n">
        <f aca="false">B36+C36</f>
        <v>103139</v>
      </c>
      <c r="E36" s="7" t="n">
        <f aca="false">D36/750000</f>
        <v>0.137518666666667</v>
      </c>
      <c r="F36" s="6" t="n">
        <f aca="false">F35+D36</f>
        <v>2456533</v>
      </c>
    </row>
    <row r="37" customFormat="false" ht="15" hidden="false" customHeight="false" outlineLevel="0" collapsed="false">
      <c r="A37" s="5" t="s">
        <v>222</v>
      </c>
      <c r="B37" s="6" t="n">
        <v>3658</v>
      </c>
      <c r="C37" s="6" t="n">
        <v>30087</v>
      </c>
      <c r="D37" s="6" t="n">
        <f aca="false">B37+C37</f>
        <v>33745</v>
      </c>
      <c r="E37" s="7" t="n">
        <f aca="false">D37/750000</f>
        <v>0.0449933333333333</v>
      </c>
      <c r="F37" s="6" t="n">
        <f aca="false">F36+D37</f>
        <v>2490278</v>
      </c>
    </row>
    <row r="38" customFormat="false" ht="15" hidden="false" customHeight="false" outlineLevel="0" collapsed="false">
      <c r="A38" s="5" t="s">
        <v>223</v>
      </c>
      <c r="B38" s="6" t="n">
        <v>23239</v>
      </c>
      <c r="C38" s="6" t="n">
        <v>27241</v>
      </c>
      <c r="D38" s="6" t="n">
        <f aca="false">B38+C38</f>
        <v>50480</v>
      </c>
      <c r="E38" s="7" t="n">
        <f aca="false">D38/750000</f>
        <v>0.0673066666666667</v>
      </c>
      <c r="F38" s="6" t="n">
        <f aca="false">F37+D38</f>
        <v>2540758</v>
      </c>
    </row>
    <row r="39" customFormat="false" ht="15" hidden="false" customHeight="false" outlineLevel="0" collapsed="false">
      <c r="A39" s="5" t="s">
        <v>184</v>
      </c>
      <c r="B39" s="8" t="n">
        <f aca="false">SUM(B2:B38)</f>
        <v>1363047</v>
      </c>
      <c r="C39" s="8" t="n">
        <f aca="false">SUM(C2:C38)</f>
        <v>1177711</v>
      </c>
      <c r="D39" s="8" t="n">
        <f aca="false">SUM(D2:D38)</f>
        <v>2540758</v>
      </c>
    </row>
    <row r="41" customFormat="false" ht="15" hidden="false" customHeight="false" outlineLevel="0" collapsed="false">
      <c r="A41" s="9" t="s">
        <v>185</v>
      </c>
    </row>
  </sheetData>
  <conditionalFormatting sqref="D2:D3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2026-10-25T20:43:01Z</dcterms:created>
  <dc:creator>openpyxl</dc:creator>
  <dc:description/>
  <dc:language>en-US</dc:language>
  <cp:lastModifiedBy/>
  <dcterms:modified xsi:type="dcterms:W3CDTF">2026-10-25T20:43:01Z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
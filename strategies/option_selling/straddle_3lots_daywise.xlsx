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et A daily" sheetId="2" state="visible" r:id="rId4"/>
    <sheet name="Set B daily" sheetId="3" state="visible" r:id="rId5"/>
    <sheet name="Monthly" sheetId="4" state="visible" r:id="rId6"/>
    <sheet name="Yearly" sheetId="5" state="visible" r:id="rId7"/>
  </sheets>
  <definedNames>
    <definedName function="false" hidden="true" localSheetId="1" name="_xlnm._FilterDatabase" vbProcedure="false">'Set A daily'!$A$1:$R$440</definedName>
    <definedName function="false" hidden="true" localSheetId="2" name="_xlnm._FilterDatabase" vbProcedure="false">'Set B daily'!$A$1:$R$440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<sst xmlns="http://schemas.openxmlformats.org/spreadsheetml/2006/main" count="1011" uniqueCount="83">
  <si>
    <t xml:space="preserve">Nifty expiry-day ATM straddle — 3 lots, backtest Jan 2016 – Oct 2026</t>
  </si>
  <si>
    <t xml:space="preserve">Metric</t>
  </si>
  <si>
    <t xml:space="preserve">Set A (9:22 + 9:35 + 10:05)</t>
  </si>
  <si>
    <t xml:space="preserve">Set B (9:45 + 10:05 + 10:35)</t>
  </si>
  <si>
    <t xml:space="preserve">Total profit ₹</t>
  </si>
  <si>
    <t xml:space="preserve">Expiry days traded</t>
  </si>
  <si>
    <t xml:space="preserve">Average ₹ per expiry day</t>
  </si>
  <si>
    <t xml:space="preserve">Win %</t>
  </si>
  <si>
    <t xml:space="preserve">Best day ₹</t>
  </si>
  <si>
    <t xml:space="preserve">Worst day ₹</t>
  </si>
  <si>
    <t xml:space="preserve">Max drawdown ₹</t>
  </si>
  <si>
    <t xml:space="preserve">Average ₹ per year (10.8 yrs)</t>
  </si>
  <si>
    <t xml:space="preserve">Notes and assumptions</t>
  </si>
  <si>
    <t xml:space="preserve">Rules: Nifty weekly expiry day only; sell 1 lot ATM CE + 1 lot ATM PE at each entry time (3 straddles a day); 30% stop-loss on each leg checked every minute; everything still open is bought back at 15:15.</t>
  </si>
  <si>
    <t xml:space="preserve">₹ figures use today's lot size (65 qty) for every year; costs included: STT 0.1% on sell premium, ~0.04% other charges per side, ₹40 brokerage per leg round trip, 0.5 pt slippage per side, +1% slippage on stop fills.</t>
  </si>
  <si>
    <t xml:space="preserve">Minute-level option prices are not published for past years: prices are rebuilt from the real Nifty 1-minute path with Black-Scholes, using each day's implied volatility solved from the actual 9:15 straddle price in the NSE bhavcopy. Treat ₹ amounts as estimates; the comparison between entry times is more reliable.</t>
  </si>
  <si>
    <t xml:space="preserve">VIX = previous day's India VIX close (known before the trade). 2026 data runs to 23 Oct 2026. Approx. margin for 3 naked straddles: ₹7–7.5 lakh.</t>
  </si>
  <si>
    <t xml:space="preserve">Monthly and Yearly sheets are formulas on the daily sheets. Use the filter on the daily sheets to sort or filter by date, day or VIX.</t>
  </si>
  <si>
    <t xml:space="preserve">Date</t>
  </si>
  <si>
    <t xml:space="preserve">Year</t>
  </si>
  <si>
    <t xml:space="preserve">Month</t>
  </si>
  <si>
    <t xml:space="preserve">Day</t>
  </si>
  <si>
    <t xml:space="preserve">Nifty open</t>
  </si>
  <si>
    <t xml:space="preserve">VIX (prev close)</t>
  </si>
  <si>
    <t xml:space="preserve">09:22 premium (pts)</t>
  </si>
  <si>
    <t xml:space="preserve">09:22 P&amp;L ₹</t>
  </si>
  <si>
    <t xml:space="preserve">09:22 legs stopped</t>
  </si>
  <si>
    <t xml:space="preserve">09:35 premium (pts)</t>
  </si>
  <si>
    <t xml:space="preserve">09:35 P&amp;L ₹</t>
  </si>
  <si>
    <t xml:space="preserve">09:35 legs stopped</t>
  </si>
  <si>
    <t xml:space="preserve">10:05 premium (pts)</t>
  </si>
  <si>
    <t xml:space="preserve">10:05 P&amp;L ₹</t>
  </si>
  <si>
    <t xml:space="preserve">10:05 legs stopped</t>
  </si>
  <si>
    <t xml:space="preserve">Total P&amp;L ₹ (3 lots)</t>
  </si>
  <si>
    <t xml:space="preserve">Cumulative ₹</t>
  </si>
  <si>
    <t xml:space="preserve">Drawdown ₹</t>
  </si>
  <si>
    <t xml:space="preserve">Thursday</t>
  </si>
  <si>
    <t xml:space="preserve">Wednesday</t>
  </si>
  <si>
    <t xml:space="preserve">Tuesday</t>
  </si>
  <si>
    <t xml:space="preserve">Monday</t>
  </si>
  <si>
    <t xml:space="preserve">09:45 premium (pts)</t>
  </si>
  <si>
    <t xml:space="preserve">09:45 P&amp;L ₹</t>
  </si>
  <si>
    <t xml:space="preserve">09:45 legs stopped</t>
  </si>
  <si>
    <t xml:space="preserve">10:35 premium (pts)</t>
  </si>
  <si>
    <t xml:space="preserve">10:35 P&amp;L ₹</t>
  </si>
  <si>
    <t xml:space="preserve">10:35 legs stopped</t>
  </si>
  <si>
    <t xml:space="preserve">Set A 9:22+9:35+10:05 — monthly P&amp;L ₹ (3 lots)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</si>
  <si>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</si>
  <si>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</si>
  <si>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</si>
  <si>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</si>
  <si>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</si>
  <si>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</si>
  <si>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</si>
  <si>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</si>
  <si>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</si>
  <si>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</si>
  <si>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</si>
  <si>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</si>
  <si>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total</t>
  </si>
  <si>
    <t xml:space="preserve">Expiry days</t>
  </si>
  <si>
    <t xml:space="preserve">Winning days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</si>
  <si>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</si>
  <si>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</si>
  <si>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</si>
  <si>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</si>
  <si>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</si>
  <si>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</si>
  <si>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</si>
  <si>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</si>
  <si>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</si>
  <si>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</si>
  <si>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</si>
  <si>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Total</t>
  </si>
  <si>
    <t xml:space="preserve">Set B 9:45+10:05+10:35 — monthly P&amp;L ₹ (3 lots)</t>
  </si>
  <si>
    <t xml:space="preserve">Set A ₹ (9:22+9:35+10:05)</t>
  </si>
  <si>
    <t xml:space="preserve">Set A expiry days</t>
  </si>
  <si>
    <t xml:space="preserve">Set A win %</t>
  </si>
  <si>
    <t xml:space="preserve">Set A worst day ₹</t>
  </si>
  <si>
    <t xml:space="preserve">Set B ₹ (9:45+10:05+10:35)</t>
  </si>
  <si>
    <t xml:space="preserve">Set B expiry days</t>
  </si>
  <si>
    <t xml:space="preserve">Set B win %</t>
  </si>
  <si>
    <t xml:space="preserve">Set B worst day ₹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</si>
</sst>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[RED]\-#,##0;\-"/>
    <numFmt numFmtId="166" formatCode="0.0%"/>
    <numFmt numFmtId="167" formatCode="dd\-mmm\-yyyy"/>
    <numFmt numFmtId="168" formatCode="General"/>
    <numFmt numFmtId="169" formatCode="#,##0"/>
    <numFmt numFmtId="170" formatCode="0.00"/>
    <numFmt numFmtId="171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f aca="false">SUM('Set A daily'!P2:P440)</f>
        <v>1327936</v>
      </c>
      <c r="C4" s="4" t="n">
        <f aca="false">SUM('Set B daily'!P2:P440)</f>
        <v>1454534</v>
      </c>
    </row>
    <row r="5" customFormat="false" ht="15" hidden="false" customHeight="false" outlineLevel="0" collapsed="false">
      <c r="A5" s="3" t="s">
        <v>5</v>
      </c>
      <c r="B5" s="4" t="n">
        <f aca="false">COUNT('Set A daily'!P2:P440)</f>
        <v>439</v>
      </c>
      <c r="C5" s="4" t="n">
        <f aca="false">COUNT('Set B daily'!P2:P440)</f>
        <v>439</v>
      </c>
    </row>
    <row r="6" customFormat="false" ht="15" hidden="false" customHeight="false" outlineLevel="0" collapsed="false">
      <c r="A6" s="3" t="s">
        <v>6</v>
      </c>
      <c r="B6" s="4" t="n">
        <f aca="false">AVERAGE('Set A daily'!P2:P440)</f>
        <v>3024.91116173121</v>
      </c>
      <c r="C6" s="4" t="n">
        <f aca="false">AVERAGE('Set B daily'!P2:P440)</f>
        <v>3313.28929384966</v>
      </c>
    </row>
    <row r="7" customFormat="false" ht="15" hidden="false" customHeight="false" outlineLevel="0" collapsed="false">
      <c r="A7" s="3" t="s">
        <v>7</v>
      </c>
      <c r="B7" s="5" t="n">
        <f aca="false">COUNTIF('Set A daily'!P2:P440,"&gt;0")/COUNT('Set A daily'!P2:P440)</f>
        <v>0.706150341685649</v>
      </c>
      <c r="C7" s="5" t="n">
        <f aca="false">COUNTIF('Set B daily'!P2:P440,"&gt;0")/COUNT('Set B daily'!P2:P440)</f>
        <v>0.73120728929385</v>
      </c>
    </row>
    <row r="8" customFormat="false" ht="15" hidden="false" customHeight="false" outlineLevel="0" collapsed="false">
      <c r="A8" s="3" t="s">
        <v>8</v>
      </c>
      <c r="B8" s="4" t="n">
        <f aca="false">MAX('Set A daily'!P2:P440)</f>
        <v>45765</v>
      </c>
      <c r="C8" s="4" t="n">
        <f aca="false">MAX('Set B daily'!P2:P440)</f>
        <v>38547</v>
      </c>
    </row>
    <row r="9" customFormat="false" ht="15" hidden="false" customHeight="false" outlineLevel="0" collapsed="false">
      <c r="A9" s="3" t="s">
        <v>9</v>
      </c>
      <c r="B9" s="4" t="n">
        <f aca="false">MIN('Set A daily'!P2:P440)</f>
        <v>-14841</v>
      </c>
      <c r="C9" s="4" t="n">
        <f aca="false">MIN('Set B daily'!P2:P440)</f>
        <v>-14240</v>
      </c>
    </row>
    <row r="10" customFormat="false" ht="15" hidden="false" customHeight="false" outlineLevel="0" collapsed="false">
      <c r="A10" s="3" t="s">
        <v>10</v>
      </c>
      <c r="B10" s="4" t="n">
        <f aca="false">MIN('Set A daily'!R2:R440)</f>
        <v>-19120</v>
      </c>
      <c r="C10" s="4" t="n">
        <f aca="false">MIN('Set B daily'!R2:R440)</f>
        <v>-26927</v>
      </c>
    </row>
    <row r="11" customFormat="false" ht="15" hidden="false" customHeight="false" outlineLevel="0" collapsed="false">
      <c r="A11" s="3" t="s">
        <v>11</v>
      </c>
      <c r="B11" s="4" t="n">
        <f aca="false">SUM('Set A daily'!P2:P440)/10.8</f>
        <v>122957.037037037</v>
      </c>
      <c r="C11" s="4" t="n">
        <f aca="false">SUM('Set B daily'!P2:P440)/10.8</f>
        <v>134679.074074074</v>
      </c>
    </row>
    <row r="13" customFormat="false" ht="15" hidden="false" customHeight="false" outlineLevel="0" collapsed="false">
      <c r="A13" s="3" t="s">
        <v>12</v>
      </c>
    </row>
    <row r="14" customFormat="false" ht="42" hidden="false" customHeight="true" outlineLevel="0" collapsed="false">
      <c r="A14" s="6" t="s">
        <v>13</v>
      </c>
      <c r="B14" s="6"/>
      <c r="C14" s="6"/>
    </row>
    <row r="15" customFormat="false" ht="42" hidden="false" customHeight="true" outlineLevel="0" collapsed="false">
      <c r="A15" s="6" t="s">
        <v>14</v>
      </c>
      <c r="B15" s="6"/>
      <c r="C15" s="6"/>
    </row>
    <row r="16" customFormat="false" ht="42" hidden="false" customHeight="true" outlineLevel="0" collapsed="false">
      <c r="A16" s="6" t="s">
        <v>15</v>
      </c>
      <c r="B16" s="6"/>
      <c r="C16" s="6"/>
    </row>
    <row r="17" customFormat="false" ht="42" hidden="false" customHeight="true" outlineLevel="0" collapsed="false">
      <c r="A17" s="6" t="s">
        <v>16</v>
      </c>
      <c r="B17" s="6"/>
      <c r="C17" s="6"/>
    </row>
    <row r="18" customFormat="false" ht="42" hidden="false" customHeight="true" outlineLevel="0" collapsed="false">
      <c r="A18" s="6" t="s">
        <v>17</v>
      </c>
      <c r="B18" s="6"/>
      <c r="C18" s="6"/>
    </row>
  </sheetData>
  <mergeCells count="5">
    <mergeCell ref="A14:C14"/>
    <mergeCell ref="A15:C15"/>
    <mergeCell ref="A16:C16"/>
    <mergeCell ref="A17:C17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8" min="2" style="0" width="12"/>
  </cols>
  <sheetData>
    <row r="1" customFormat="false" ht="42" hidden="false" customHeight="true" outlineLevel="0" collapsed="false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</row>
    <row r="2" customFormat="false" ht="15" hidden="false" customHeight="false" outlineLevel="0" collapsed="false">
      <c r="A2" s="7" t="n">
        <v>42397</v>
      </c>
      <c r="B2" s="8" t="n">
        <f aca="false">YEAR(A2)</f>
        <v>2016</v>
      </c>
      <c r="C2" s="8" t="n">
        <f aca="false">MONTH(A2)</f>
        <v>1</v>
      </c>
      <c r="D2" s="8" t="s">
        <v>36</v>
      </c>
      <c r="E2" s="9" t="n">
        <v>7426.5</v>
      </c>
      <c r="F2" s="10" t="n">
        <v>19.06</v>
      </c>
      <c r="G2" s="11" t="n">
        <v>36.2</v>
      </c>
      <c r="H2" s="4" t="n">
        <v>-966</v>
      </c>
      <c r="I2" s="8" t="n">
        <v>2</v>
      </c>
      <c r="J2" s="11" t="n">
        <v>36.6</v>
      </c>
      <c r="K2" s="4" t="n">
        <v>-645</v>
      </c>
      <c r="L2" s="8" t="n">
        <v>1</v>
      </c>
      <c r="M2" s="11" t="n">
        <v>36</v>
      </c>
      <c r="N2" s="4" t="n">
        <v>-535</v>
      </c>
      <c r="O2" s="8" t="n">
        <v>1</v>
      </c>
      <c r="P2" s="4" t="n">
        <f aca="false">H2+K2+N2</f>
        <v>-2146</v>
      </c>
      <c r="Q2" s="4" t="n">
        <f aca="false">P2</f>
        <v>-2146</v>
      </c>
      <c r="R2" s="4" t="n">
        <f aca="false">Q2-MAX(0,MAX($Q$2:Q2))</f>
        <v>-2146</v>
      </c>
    </row>
    <row r="3" customFormat="false" ht="15" hidden="false" customHeight="false" outlineLevel="0" collapsed="false">
      <c r="A3" s="7" t="n">
        <v>42425</v>
      </c>
      <c r="B3" s="8" t="n">
        <f aca="false">YEAR(A3)</f>
        <v>2016</v>
      </c>
      <c r="C3" s="8" t="n">
        <f aca="false">MONTH(A3)</f>
        <v>2</v>
      </c>
      <c r="D3" s="8" t="s">
        <v>36</v>
      </c>
      <c r="E3" s="9" t="n">
        <v>7029.8</v>
      </c>
      <c r="F3" s="10" t="n">
        <v>22.96</v>
      </c>
      <c r="G3" s="11" t="n">
        <v>54.7</v>
      </c>
      <c r="H3" s="4" t="n">
        <v>1606</v>
      </c>
      <c r="I3" s="8" t="n">
        <v>1</v>
      </c>
      <c r="J3" s="11" t="n">
        <v>52.5</v>
      </c>
      <c r="K3" s="4" t="n">
        <v>-1298</v>
      </c>
      <c r="L3" s="8" t="n">
        <v>2</v>
      </c>
      <c r="M3" s="11" t="n">
        <v>51</v>
      </c>
      <c r="N3" s="4" t="n">
        <v>-1268</v>
      </c>
      <c r="O3" s="8" t="n">
        <v>2</v>
      </c>
      <c r="P3" s="4" t="n">
        <f aca="false">H3+K3+N3</f>
        <v>-960</v>
      </c>
      <c r="Q3" s="4" t="n">
        <f aca="false">Q2+P3</f>
        <v>-3106</v>
      </c>
      <c r="R3" s="4" t="n">
        <f aca="false">Q3-MAX(0,MAX($Q$2:Q3))</f>
        <v>-3106</v>
      </c>
    </row>
    <row r="4" customFormat="false" ht="15" hidden="false" customHeight="false" outlineLevel="0" collapsed="false">
      <c r="A4" s="7" t="n">
        <v>42460</v>
      </c>
      <c r="B4" s="8" t="n">
        <f aca="false">YEAR(A4)</f>
        <v>2016</v>
      </c>
      <c r="C4" s="8" t="n">
        <f aca="false">MONTH(A4)</f>
        <v>3</v>
      </c>
      <c r="D4" s="8" t="s">
        <v>36</v>
      </c>
      <c r="E4" s="9" t="n">
        <v>7727.6</v>
      </c>
      <c r="F4" s="10" t="n">
        <v>16.81</v>
      </c>
      <c r="G4" s="11" t="n">
        <v>36.1</v>
      </c>
      <c r="H4" s="4" t="n">
        <v>-964</v>
      </c>
      <c r="I4" s="8" t="n">
        <v>2</v>
      </c>
      <c r="J4" s="11" t="n">
        <v>35.4</v>
      </c>
      <c r="K4" s="4" t="n">
        <v>-950</v>
      </c>
      <c r="L4" s="8" t="n">
        <v>2</v>
      </c>
      <c r="M4" s="11" t="n">
        <v>36.7</v>
      </c>
      <c r="N4" s="4" t="n">
        <v>1296</v>
      </c>
      <c r="O4" s="8" t="n">
        <v>1</v>
      </c>
      <c r="P4" s="4" t="n">
        <f aca="false">H4+K4+N4</f>
        <v>-618</v>
      </c>
      <c r="Q4" s="4" t="n">
        <f aca="false">Q3+P4</f>
        <v>-3724</v>
      </c>
      <c r="R4" s="4" t="n">
        <f aca="false">Q4-MAX(0,MAX($Q$2:Q4))</f>
        <v>-3724</v>
      </c>
    </row>
    <row r="5" customFormat="false" ht="15" hidden="false" customHeight="false" outlineLevel="0" collapsed="false">
      <c r="A5" s="7" t="n">
        <v>42488</v>
      </c>
      <c r="B5" s="8" t="n">
        <f aca="false">YEAR(A5)</f>
        <v>2016</v>
      </c>
      <c r="C5" s="8" t="n">
        <f aca="false">MONTH(A5)</f>
        <v>4</v>
      </c>
      <c r="D5" s="8" t="s">
        <v>36</v>
      </c>
      <c r="E5" s="9" t="n">
        <v>7967.4</v>
      </c>
      <c r="F5" s="10" t="n">
        <v>16.35</v>
      </c>
      <c r="G5" s="11" t="n">
        <v>40.9</v>
      </c>
      <c r="H5" s="4" t="n">
        <v>136</v>
      </c>
      <c r="I5" s="8" t="n">
        <v>1</v>
      </c>
      <c r="J5" s="11" t="n">
        <v>42.4</v>
      </c>
      <c r="K5" s="4" t="n">
        <v>-1093</v>
      </c>
      <c r="L5" s="8" t="n">
        <v>2</v>
      </c>
      <c r="M5" s="11" t="n">
        <v>37.7</v>
      </c>
      <c r="N5" s="4" t="n">
        <v>274</v>
      </c>
      <c r="O5" s="8" t="n">
        <v>1</v>
      </c>
      <c r="P5" s="4" t="n">
        <f aca="false">H5+K5+N5</f>
        <v>-683</v>
      </c>
      <c r="Q5" s="4" t="n">
        <f aca="false">Q4+P5</f>
        <v>-4407</v>
      </c>
      <c r="R5" s="4" t="n">
        <f aca="false">Q5-MAX(0,MAX($Q$2:Q5))</f>
        <v>-4407</v>
      </c>
    </row>
    <row r="6" customFormat="false" ht="15" hidden="false" customHeight="false" outlineLevel="0" collapsed="false">
      <c r="A6" s="7" t="n">
        <v>42516</v>
      </c>
      <c r="B6" s="8" t="n">
        <f aca="false">YEAR(A6)</f>
        <v>2016</v>
      </c>
      <c r="C6" s="8" t="n">
        <f aca="false">MONTH(A6)</f>
        <v>5</v>
      </c>
      <c r="D6" s="8" t="s">
        <v>36</v>
      </c>
      <c r="E6" s="9" t="n">
        <v>7974.4</v>
      </c>
      <c r="F6" s="10" t="n">
        <v>15.52</v>
      </c>
      <c r="G6" s="11" t="n">
        <v>43.7</v>
      </c>
      <c r="H6" s="4" t="n">
        <v>539</v>
      </c>
      <c r="I6" s="8" t="n">
        <v>1</v>
      </c>
      <c r="J6" s="11" t="n">
        <v>46.3</v>
      </c>
      <c r="K6" s="4" t="n">
        <v>-131</v>
      </c>
      <c r="L6" s="8" t="n">
        <v>1</v>
      </c>
      <c r="M6" s="11" t="n">
        <v>46</v>
      </c>
      <c r="N6" s="4" t="n">
        <v>-1165</v>
      </c>
      <c r="O6" s="8" t="n">
        <v>2</v>
      </c>
      <c r="P6" s="4" t="n">
        <f aca="false">H6+K6+N6</f>
        <v>-757</v>
      </c>
      <c r="Q6" s="4" t="n">
        <f aca="false">Q5+P6</f>
        <v>-5164</v>
      </c>
      <c r="R6" s="4" t="n">
        <f aca="false">Q6-MAX(0,MAX($Q$2:Q6))</f>
        <v>-5164</v>
      </c>
    </row>
    <row r="7" customFormat="false" ht="15" hidden="false" customHeight="false" outlineLevel="0" collapsed="false">
      <c r="A7" s="7" t="n">
        <v>42551</v>
      </c>
      <c r="B7" s="8" t="n">
        <f aca="false">YEAR(A7)</f>
        <v>2016</v>
      </c>
      <c r="C7" s="8" t="n">
        <f aca="false">MONTH(A7)</f>
        <v>6</v>
      </c>
      <c r="D7" s="8" t="s">
        <v>36</v>
      </c>
      <c r="E7" s="9" t="n">
        <v>8262.3</v>
      </c>
      <c r="F7" s="10" t="n">
        <v>16.16</v>
      </c>
      <c r="G7" s="11" t="n">
        <v>56.1</v>
      </c>
      <c r="H7" s="4" t="n">
        <v>403</v>
      </c>
      <c r="I7" s="8" t="n">
        <v>1</v>
      </c>
      <c r="J7" s="11" t="n">
        <v>56.1</v>
      </c>
      <c r="K7" s="4" t="n">
        <v>192</v>
      </c>
      <c r="L7" s="8" t="n">
        <v>1</v>
      </c>
      <c r="M7" s="11" t="n">
        <v>55</v>
      </c>
      <c r="N7" s="4" t="n">
        <v>-1350</v>
      </c>
      <c r="O7" s="8" t="n">
        <v>2</v>
      </c>
      <c r="P7" s="4" t="n">
        <f aca="false">H7+K7+N7</f>
        <v>-755</v>
      </c>
      <c r="Q7" s="4" t="n">
        <f aca="false">Q6+P7</f>
        <v>-5919</v>
      </c>
      <c r="R7" s="4" t="n">
        <f aca="false">Q7-MAX(0,MAX($Q$2:Q7))</f>
        <v>-5919</v>
      </c>
    </row>
    <row r="8" customFormat="false" ht="15" hidden="false" customHeight="false" outlineLevel="0" collapsed="false">
      <c r="A8" s="7" t="n">
        <v>42579</v>
      </c>
      <c r="B8" s="8" t="n">
        <f aca="false">YEAR(A8)</f>
        <v>2016</v>
      </c>
      <c r="C8" s="8" t="n">
        <f aca="false">MONTH(A8)</f>
        <v>7</v>
      </c>
      <c r="D8" s="8" t="s">
        <v>36</v>
      </c>
      <c r="E8" s="9" t="n">
        <v>8636.8</v>
      </c>
      <c r="F8" s="10" t="n">
        <v>15.43</v>
      </c>
      <c r="G8" s="11" t="n">
        <v>46.5</v>
      </c>
      <c r="H8" s="4" t="n">
        <v>1558</v>
      </c>
      <c r="I8" s="8" t="n">
        <v>0</v>
      </c>
      <c r="J8" s="11" t="n">
        <v>45.7</v>
      </c>
      <c r="K8" s="4" t="n">
        <v>1505</v>
      </c>
      <c r="L8" s="8" t="n">
        <v>0</v>
      </c>
      <c r="M8" s="11" t="n">
        <v>44.4</v>
      </c>
      <c r="N8" s="4" t="n">
        <v>1421</v>
      </c>
      <c r="O8" s="8" t="n">
        <v>0</v>
      </c>
      <c r="P8" s="4" t="n">
        <f aca="false">H8+K8+N8</f>
        <v>4484</v>
      </c>
      <c r="Q8" s="4" t="n">
        <f aca="false">Q7+P8</f>
        <v>-1435</v>
      </c>
      <c r="R8" s="4" t="n">
        <f aca="false">Q8-MAX(0,MAX($Q$2:Q8))</f>
        <v>-1435</v>
      </c>
    </row>
    <row r="9" customFormat="false" ht="15" hidden="false" customHeight="false" outlineLevel="0" collapsed="false">
      <c r="A9" s="7" t="n">
        <v>42607</v>
      </c>
      <c r="B9" s="8" t="n">
        <f aca="false">YEAR(A9)</f>
        <v>2016</v>
      </c>
      <c r="C9" s="8" t="n">
        <f aca="false">MONTH(A9)</f>
        <v>8</v>
      </c>
      <c r="D9" s="8" t="s">
        <v>36</v>
      </c>
      <c r="E9" s="9" t="n">
        <v>8666.8</v>
      </c>
      <c r="F9" s="10" t="n">
        <v>13.49</v>
      </c>
      <c r="G9" s="11" t="n">
        <v>60.3</v>
      </c>
      <c r="H9" s="4" t="n">
        <v>2226</v>
      </c>
      <c r="I9" s="8" t="n">
        <v>1</v>
      </c>
      <c r="J9" s="11" t="n">
        <v>57.8</v>
      </c>
      <c r="K9" s="4" t="n">
        <v>1913</v>
      </c>
      <c r="L9" s="8" t="n">
        <v>1</v>
      </c>
      <c r="M9" s="11" t="n">
        <v>56.8</v>
      </c>
      <c r="N9" s="4" t="n">
        <v>2091</v>
      </c>
      <c r="O9" s="8" t="n">
        <v>1</v>
      </c>
      <c r="P9" s="4" t="n">
        <f aca="false">H9+K9+N9</f>
        <v>6230</v>
      </c>
      <c r="Q9" s="4" t="n">
        <f aca="false">Q8+P9</f>
        <v>4795</v>
      </c>
      <c r="R9" s="4" t="n">
        <f aca="false">Q9-MAX(0,MAX($Q$2:Q9))</f>
        <v>0</v>
      </c>
    </row>
    <row r="10" customFormat="false" ht="15" hidden="false" customHeight="false" outlineLevel="0" collapsed="false">
      <c r="A10" s="7" t="n">
        <v>42642</v>
      </c>
      <c r="B10" s="8" t="n">
        <f aca="false">YEAR(A10)</f>
        <v>2016</v>
      </c>
      <c r="C10" s="8" t="n">
        <f aca="false">MONTH(A10)</f>
        <v>9</v>
      </c>
      <c r="D10" s="8" t="s">
        <v>36</v>
      </c>
      <c r="E10" s="9" t="n">
        <v>8790.8</v>
      </c>
      <c r="F10" s="10" t="n">
        <v>13.85</v>
      </c>
      <c r="G10" s="11" t="n">
        <v>41.5</v>
      </c>
      <c r="H10" s="4" t="n">
        <v>491</v>
      </c>
      <c r="I10" s="8" t="n">
        <v>1</v>
      </c>
      <c r="J10" s="11" t="n">
        <v>41.5</v>
      </c>
      <c r="K10" s="4" t="n">
        <v>238</v>
      </c>
      <c r="L10" s="8" t="n">
        <v>1</v>
      </c>
      <c r="M10" s="11" t="n">
        <v>40.5</v>
      </c>
      <c r="N10" s="4" t="n">
        <v>61</v>
      </c>
      <c r="O10" s="8" t="n">
        <v>1</v>
      </c>
      <c r="P10" s="4" t="n">
        <f aca="false">H10+K10+N10</f>
        <v>790</v>
      </c>
      <c r="Q10" s="4" t="n">
        <f aca="false">Q9+P10</f>
        <v>5585</v>
      </c>
      <c r="R10" s="4" t="n">
        <f aca="false">Q10-MAX(0,MAX($Q$2:Q10))</f>
        <v>0</v>
      </c>
    </row>
    <row r="11" customFormat="false" ht="15" hidden="false" customHeight="false" outlineLevel="0" collapsed="false">
      <c r="A11" s="7" t="n">
        <v>42670</v>
      </c>
      <c r="B11" s="8" t="n">
        <f aca="false">YEAR(A11)</f>
        <v>2016</v>
      </c>
      <c r="C11" s="8" t="n">
        <f aca="false">MONTH(A11)</f>
        <v>10</v>
      </c>
      <c r="D11" s="8" t="s">
        <v>36</v>
      </c>
      <c r="E11" s="9" t="n">
        <v>8607.1</v>
      </c>
      <c r="F11" s="10" t="n">
        <v>14.45</v>
      </c>
      <c r="G11" s="11" t="n">
        <v>50.1</v>
      </c>
      <c r="H11" s="4" t="n">
        <v>-1250</v>
      </c>
      <c r="I11" s="8" t="n">
        <v>2</v>
      </c>
      <c r="J11" s="11" t="n">
        <v>48.6</v>
      </c>
      <c r="K11" s="4" t="n">
        <v>-1219</v>
      </c>
      <c r="L11" s="8" t="n">
        <v>2</v>
      </c>
      <c r="M11" s="11" t="n">
        <v>47.2</v>
      </c>
      <c r="N11" s="4" t="n">
        <v>-6</v>
      </c>
      <c r="O11" s="8" t="n">
        <v>1</v>
      </c>
      <c r="P11" s="4" t="n">
        <f aca="false">H11+K11+N11</f>
        <v>-2475</v>
      </c>
      <c r="Q11" s="4" t="n">
        <f aca="false">Q10+P11</f>
        <v>3110</v>
      </c>
      <c r="R11" s="4" t="n">
        <f aca="false">Q11-MAX(0,MAX($Q$2:Q11))</f>
        <v>-2475</v>
      </c>
    </row>
    <row r="12" customFormat="false" ht="15" hidden="false" customHeight="false" outlineLevel="0" collapsed="false">
      <c r="A12" s="7" t="n">
        <v>42698</v>
      </c>
      <c r="B12" s="8" t="n">
        <f aca="false">YEAR(A12)</f>
        <v>2016</v>
      </c>
      <c r="C12" s="8" t="n">
        <f aca="false">MONTH(A12)</f>
        <v>11</v>
      </c>
      <c r="D12" s="8" t="s">
        <v>36</v>
      </c>
      <c r="E12" s="9" t="n">
        <v>8011.8</v>
      </c>
      <c r="F12" s="10" t="n">
        <v>18.04</v>
      </c>
      <c r="G12" s="11" t="n">
        <v>55.7</v>
      </c>
      <c r="H12" s="4" t="n">
        <v>-966</v>
      </c>
      <c r="I12" s="8" t="n">
        <v>1</v>
      </c>
      <c r="J12" s="11" t="n">
        <v>54.1</v>
      </c>
      <c r="K12" s="4" t="n">
        <v>-1332</v>
      </c>
      <c r="L12" s="8" t="n">
        <v>2</v>
      </c>
      <c r="M12" s="11" t="n">
        <v>50.8</v>
      </c>
      <c r="N12" s="4" t="n">
        <v>675</v>
      </c>
      <c r="O12" s="8" t="n">
        <v>1</v>
      </c>
      <c r="P12" s="4" t="n">
        <f aca="false">H12+K12+N12</f>
        <v>-1623</v>
      </c>
      <c r="Q12" s="4" t="n">
        <f aca="false">Q11+P12</f>
        <v>1487</v>
      </c>
      <c r="R12" s="4" t="n">
        <f aca="false">Q12-MAX(0,MAX($Q$2:Q12))</f>
        <v>-4098</v>
      </c>
    </row>
    <row r="13" customFormat="false" ht="15" hidden="false" customHeight="false" outlineLevel="0" collapsed="false">
      <c r="A13" s="7" t="n">
        <v>42733</v>
      </c>
      <c r="B13" s="8" t="n">
        <f aca="false">YEAR(A13)</f>
        <v>2016</v>
      </c>
      <c r="C13" s="8" t="n">
        <f aca="false">MONTH(A13)</f>
        <v>12</v>
      </c>
      <c r="D13" s="8" t="s">
        <v>36</v>
      </c>
      <c r="E13" s="9" t="n">
        <v>8030.6</v>
      </c>
      <c r="F13" s="10" t="n">
        <v>15.54</v>
      </c>
      <c r="G13" s="11" t="n">
        <v>54.2</v>
      </c>
      <c r="H13" s="4" t="n">
        <v>816</v>
      </c>
      <c r="I13" s="8" t="n">
        <v>1</v>
      </c>
      <c r="J13" s="11" t="n">
        <v>53.2</v>
      </c>
      <c r="K13" s="4" t="n">
        <v>1031</v>
      </c>
      <c r="L13" s="8" t="n">
        <v>1</v>
      </c>
      <c r="M13" s="11" t="n">
        <v>50.9</v>
      </c>
      <c r="N13" s="4" t="n">
        <v>980</v>
      </c>
      <c r="O13" s="8" t="n">
        <v>1</v>
      </c>
      <c r="P13" s="4" t="n">
        <f aca="false">H13+K13+N13</f>
        <v>2827</v>
      </c>
      <c r="Q13" s="4" t="n">
        <f aca="false">Q12+P13</f>
        <v>4314</v>
      </c>
      <c r="R13" s="4" t="n">
        <f aca="false">Q13-MAX(0,MAX($Q$2:Q13))</f>
        <v>-1271</v>
      </c>
    </row>
    <row r="14" customFormat="false" ht="15" hidden="false" customHeight="false" outlineLevel="0" collapsed="false">
      <c r="A14" s="7" t="n">
        <v>42760</v>
      </c>
      <c r="B14" s="8" t="n">
        <f aca="false">YEAR(A14)</f>
        <v>2017</v>
      </c>
      <c r="C14" s="8" t="n">
        <f aca="false">MONTH(A14)</f>
        <v>1</v>
      </c>
      <c r="D14" s="8" t="s">
        <v>37</v>
      </c>
      <c r="E14" s="9" t="n">
        <v>8499.4</v>
      </c>
      <c r="F14" s="10" t="n">
        <v>15.29</v>
      </c>
      <c r="G14" s="11" t="n">
        <v>37.5</v>
      </c>
      <c r="H14" s="4" t="n">
        <v>611</v>
      </c>
      <c r="I14" s="8" t="n">
        <v>1</v>
      </c>
      <c r="J14" s="11" t="n">
        <v>38.7</v>
      </c>
      <c r="K14" s="4" t="n">
        <v>-1016</v>
      </c>
      <c r="L14" s="8" t="n">
        <v>2</v>
      </c>
      <c r="M14" s="11" t="n">
        <v>37.1</v>
      </c>
      <c r="N14" s="4" t="n">
        <v>-985</v>
      </c>
      <c r="O14" s="8" t="n">
        <v>2</v>
      </c>
      <c r="P14" s="4" t="n">
        <f aca="false">H14+K14+N14</f>
        <v>-1390</v>
      </c>
      <c r="Q14" s="4" t="n">
        <f aca="false">Q13+P14</f>
        <v>2924</v>
      </c>
      <c r="R14" s="4" t="n">
        <f aca="false">Q14-MAX(0,MAX($Q$2:Q14))</f>
        <v>-2661</v>
      </c>
    </row>
    <row r="15" customFormat="false" ht="15" hidden="false" customHeight="false" outlineLevel="0" collapsed="false">
      <c r="A15" s="7" t="n">
        <v>42789</v>
      </c>
      <c r="B15" s="8" t="n">
        <f aca="false">YEAR(A15)</f>
        <v>2017</v>
      </c>
      <c r="C15" s="8" t="n">
        <f aca="false">MONTH(A15)</f>
        <v>2</v>
      </c>
      <c r="D15" s="8" t="s">
        <v>36</v>
      </c>
      <c r="E15" s="9" t="n">
        <v>8952.6</v>
      </c>
      <c r="F15" s="10" t="n">
        <v>13.7</v>
      </c>
      <c r="G15" s="11" t="n">
        <v>53.8</v>
      </c>
      <c r="H15" s="4" t="n">
        <v>1879</v>
      </c>
      <c r="I15" s="8" t="n">
        <v>0</v>
      </c>
      <c r="J15" s="11" t="n">
        <v>52.9</v>
      </c>
      <c r="K15" s="4" t="n">
        <v>1817</v>
      </c>
      <c r="L15" s="8" t="n">
        <v>0</v>
      </c>
      <c r="M15" s="11" t="n">
        <v>50.5</v>
      </c>
      <c r="N15" s="4" t="n">
        <v>-349</v>
      </c>
      <c r="O15" s="8" t="n">
        <v>1</v>
      </c>
      <c r="P15" s="4" t="n">
        <f aca="false">H15+K15+N15</f>
        <v>3347</v>
      </c>
      <c r="Q15" s="4" t="n">
        <f aca="false">Q14+P15</f>
        <v>6271</v>
      </c>
      <c r="R15" s="4" t="n">
        <f aca="false">Q15-MAX(0,MAX($Q$2:Q15))</f>
        <v>0</v>
      </c>
    </row>
    <row r="16" customFormat="false" ht="15" hidden="false" customHeight="false" outlineLevel="0" collapsed="false">
      <c r="A16" s="7" t="n">
        <v>42824</v>
      </c>
      <c r="B16" s="8" t="n">
        <f aca="false">YEAR(A16)</f>
        <v>2017</v>
      </c>
      <c r="C16" s="8" t="n">
        <f aca="false">MONTH(A16)</f>
        <v>3</v>
      </c>
      <c r="D16" s="8" t="s">
        <v>36</v>
      </c>
      <c r="E16" s="9" t="n">
        <v>9142.6</v>
      </c>
      <c r="F16" s="10" t="n">
        <v>12.09</v>
      </c>
      <c r="G16" s="11" t="n">
        <v>31.6</v>
      </c>
      <c r="H16" s="4" t="n">
        <v>289</v>
      </c>
      <c r="I16" s="8" t="n">
        <v>1</v>
      </c>
      <c r="J16" s="11" t="n">
        <v>32.4</v>
      </c>
      <c r="K16" s="4" t="n">
        <v>-27</v>
      </c>
      <c r="L16" s="8" t="n">
        <v>1</v>
      </c>
      <c r="M16" s="11" t="n">
        <v>33.5</v>
      </c>
      <c r="N16" s="4" t="n">
        <v>-148</v>
      </c>
      <c r="O16" s="8" t="n">
        <v>1</v>
      </c>
      <c r="P16" s="4" t="n">
        <f aca="false">H16+K16+N16</f>
        <v>114</v>
      </c>
      <c r="Q16" s="4" t="n">
        <f aca="false">Q15+P16</f>
        <v>6385</v>
      </c>
      <c r="R16" s="4" t="n">
        <f aca="false">Q16-MAX(0,MAX($Q$2:Q16))</f>
        <v>0</v>
      </c>
    </row>
    <row r="17" customFormat="false" ht="15" hidden="false" customHeight="false" outlineLevel="0" collapsed="false">
      <c r="A17" s="7" t="n">
        <v>42852</v>
      </c>
      <c r="B17" s="8" t="n">
        <f aca="false">YEAR(A17)</f>
        <v>2017</v>
      </c>
      <c r="C17" s="8" t="n">
        <f aca="false">MONTH(A17)</f>
        <v>4</v>
      </c>
      <c r="D17" s="8" t="s">
        <v>36</v>
      </c>
      <c r="E17" s="9" t="n">
        <v>9359.2</v>
      </c>
      <c r="F17" s="10" t="n">
        <v>11.74</v>
      </c>
      <c r="G17" s="11" t="n">
        <v>41.6</v>
      </c>
      <c r="H17" s="4" t="n">
        <v>763</v>
      </c>
      <c r="I17" s="8" t="n">
        <v>1</v>
      </c>
      <c r="J17" s="11" t="n">
        <v>41</v>
      </c>
      <c r="K17" s="4" t="n">
        <v>827</v>
      </c>
      <c r="L17" s="8" t="n">
        <v>1</v>
      </c>
      <c r="M17" s="11" t="n">
        <v>40.4</v>
      </c>
      <c r="N17" s="4" t="n">
        <v>451</v>
      </c>
      <c r="O17" s="8" t="n">
        <v>1</v>
      </c>
      <c r="P17" s="4" t="n">
        <f aca="false">H17+K17+N17</f>
        <v>2041</v>
      </c>
      <c r="Q17" s="4" t="n">
        <f aca="false">Q16+P17</f>
        <v>8426</v>
      </c>
      <c r="R17" s="4" t="n">
        <f aca="false">Q17-MAX(0,MAX($Q$2:Q17))</f>
        <v>0</v>
      </c>
    </row>
    <row r="18" customFormat="false" ht="15" hidden="false" customHeight="false" outlineLevel="0" collapsed="false">
      <c r="A18" s="7" t="n">
        <v>42880</v>
      </c>
      <c r="B18" s="8" t="n">
        <f aca="false">YEAR(A18)</f>
        <v>2017</v>
      </c>
      <c r="C18" s="8" t="n">
        <f aca="false">MONTH(A18)</f>
        <v>5</v>
      </c>
      <c r="D18" s="8" t="s">
        <v>36</v>
      </c>
      <c r="E18" s="9" t="n">
        <v>9384</v>
      </c>
      <c r="F18" s="10" t="n">
        <v>11.83</v>
      </c>
      <c r="G18" s="11" t="n">
        <v>45.1</v>
      </c>
      <c r="H18" s="4" t="n">
        <v>1078</v>
      </c>
      <c r="I18" s="8" t="n">
        <v>1</v>
      </c>
      <c r="J18" s="11" t="n">
        <v>44.8</v>
      </c>
      <c r="K18" s="4" t="n">
        <v>1244</v>
      </c>
      <c r="L18" s="8" t="n">
        <v>1</v>
      </c>
      <c r="M18" s="11" t="n">
        <v>42.2</v>
      </c>
      <c r="N18" s="4" t="n">
        <v>568</v>
      </c>
      <c r="O18" s="8" t="n">
        <v>1</v>
      </c>
      <c r="P18" s="4" t="n">
        <f aca="false">H18+K18+N18</f>
        <v>2890</v>
      </c>
      <c r="Q18" s="4" t="n">
        <f aca="false">Q17+P18</f>
        <v>11316</v>
      </c>
      <c r="R18" s="4" t="n">
        <f aca="false">Q18-MAX(0,MAX($Q$2:Q18))</f>
        <v>0</v>
      </c>
    </row>
    <row r="19" customFormat="false" ht="15" hidden="false" customHeight="false" outlineLevel="0" collapsed="false">
      <c r="A19" s="7" t="n">
        <v>42915</v>
      </c>
      <c r="B19" s="8" t="n">
        <f aca="false">YEAR(A19)</f>
        <v>2017</v>
      </c>
      <c r="C19" s="8" t="n">
        <f aca="false">MONTH(A19)</f>
        <v>6</v>
      </c>
      <c r="D19" s="8" t="s">
        <v>36</v>
      </c>
      <c r="E19" s="9" t="n">
        <v>9523</v>
      </c>
      <c r="F19" s="10" t="n">
        <v>11.99</v>
      </c>
      <c r="G19" s="11" t="n">
        <v>38.2</v>
      </c>
      <c r="H19" s="4" t="n">
        <v>-1007</v>
      </c>
      <c r="I19" s="8" t="n">
        <v>2</v>
      </c>
      <c r="J19" s="11" t="n">
        <v>36.7</v>
      </c>
      <c r="K19" s="4" t="n">
        <v>-975</v>
      </c>
      <c r="L19" s="8" t="n">
        <v>2</v>
      </c>
      <c r="M19" s="11" t="n">
        <v>36.5</v>
      </c>
      <c r="N19" s="4" t="n">
        <v>1126</v>
      </c>
      <c r="O19" s="8" t="n">
        <v>1</v>
      </c>
      <c r="P19" s="4" t="n">
        <f aca="false">H19+K19+N19</f>
        <v>-856</v>
      </c>
      <c r="Q19" s="4" t="n">
        <f aca="false">Q18+P19</f>
        <v>10460</v>
      </c>
      <c r="R19" s="4" t="n">
        <f aca="false">Q19-MAX(0,MAX($Q$2:Q19))</f>
        <v>-856</v>
      </c>
    </row>
    <row r="20" customFormat="false" ht="15" hidden="false" customHeight="false" outlineLevel="0" collapsed="false">
      <c r="A20" s="7" t="n">
        <v>42943</v>
      </c>
      <c r="B20" s="8" t="n">
        <f aca="false">YEAR(A20)</f>
        <v>2017</v>
      </c>
      <c r="C20" s="8" t="n">
        <f aca="false">MONTH(A20)</f>
        <v>7</v>
      </c>
      <c r="D20" s="8" t="s">
        <v>36</v>
      </c>
      <c r="E20" s="9" t="n">
        <v>10063.2</v>
      </c>
      <c r="F20" s="10" t="n">
        <v>11.17</v>
      </c>
      <c r="G20" s="11" t="n">
        <v>56.8</v>
      </c>
      <c r="H20" s="4" t="n">
        <v>-1386</v>
      </c>
      <c r="I20" s="8" t="n">
        <v>2</v>
      </c>
      <c r="J20" s="11" t="n">
        <v>55.6</v>
      </c>
      <c r="K20" s="4" t="n">
        <v>-1362</v>
      </c>
      <c r="L20" s="8" t="n">
        <v>2</v>
      </c>
      <c r="M20" s="11" t="n">
        <v>51.4</v>
      </c>
      <c r="N20" s="4" t="n">
        <v>-1277</v>
      </c>
      <c r="O20" s="8" t="n">
        <v>2</v>
      </c>
      <c r="P20" s="4" t="n">
        <f aca="false">H20+K20+N20</f>
        <v>-4025</v>
      </c>
      <c r="Q20" s="4" t="n">
        <f aca="false">Q19+P20</f>
        <v>6435</v>
      </c>
      <c r="R20" s="4" t="n">
        <f aca="false">Q20-MAX(0,MAX($Q$2:Q20))</f>
        <v>-4881</v>
      </c>
    </row>
    <row r="21" customFormat="false" ht="15" hidden="false" customHeight="false" outlineLevel="0" collapsed="false">
      <c r="A21" s="7" t="n">
        <v>42978</v>
      </c>
      <c r="B21" s="8" t="n">
        <f aca="false">YEAR(A21)</f>
        <v>2017</v>
      </c>
      <c r="C21" s="8" t="n">
        <f aca="false">MONTH(A21)</f>
        <v>8</v>
      </c>
      <c r="D21" s="8" t="s">
        <v>36</v>
      </c>
      <c r="E21" s="9" t="n">
        <v>9905.7</v>
      </c>
      <c r="F21" s="10" t="n">
        <v>12.89</v>
      </c>
      <c r="G21" s="11" t="n">
        <v>51.5</v>
      </c>
      <c r="H21" s="4" t="n">
        <v>-834</v>
      </c>
      <c r="I21" s="8" t="n">
        <v>1</v>
      </c>
      <c r="J21" s="11" t="n">
        <v>52.3</v>
      </c>
      <c r="K21" s="4" t="n">
        <v>56</v>
      </c>
      <c r="L21" s="8" t="n">
        <v>1</v>
      </c>
      <c r="M21" s="11" t="n">
        <v>50.9</v>
      </c>
      <c r="N21" s="4" t="n">
        <v>1844</v>
      </c>
      <c r="O21" s="8" t="n">
        <v>1</v>
      </c>
      <c r="P21" s="4" t="n">
        <f aca="false">H21+K21+N21</f>
        <v>1066</v>
      </c>
      <c r="Q21" s="4" t="n">
        <f aca="false">Q20+P21</f>
        <v>7501</v>
      </c>
      <c r="R21" s="4" t="n">
        <f aca="false">Q21-MAX(0,MAX($Q$2:Q21))</f>
        <v>-3815</v>
      </c>
    </row>
    <row r="22" customFormat="false" ht="15" hidden="false" customHeight="false" outlineLevel="0" collapsed="false">
      <c r="A22" s="7" t="n">
        <v>43006</v>
      </c>
      <c r="B22" s="8" t="n">
        <f aca="false">YEAR(A22)</f>
        <v>2017</v>
      </c>
      <c r="C22" s="8" t="n">
        <f aca="false">MONTH(A22)</f>
        <v>9</v>
      </c>
      <c r="D22" s="8" t="s">
        <v>36</v>
      </c>
      <c r="E22" s="9" t="n">
        <v>9736.4</v>
      </c>
      <c r="F22" s="10" t="n">
        <v>13.86</v>
      </c>
      <c r="G22" s="11" t="n">
        <v>69.4</v>
      </c>
      <c r="H22" s="4" t="n">
        <v>-1645</v>
      </c>
      <c r="I22" s="8" t="n">
        <v>2</v>
      </c>
      <c r="J22" s="11" t="n">
        <v>64.8</v>
      </c>
      <c r="K22" s="4" t="n">
        <v>1385</v>
      </c>
      <c r="L22" s="8" t="n">
        <v>1</v>
      </c>
      <c r="M22" s="11" t="n">
        <v>63.4</v>
      </c>
      <c r="N22" s="4" t="n">
        <v>-1521</v>
      </c>
      <c r="O22" s="8" t="n">
        <v>2</v>
      </c>
      <c r="P22" s="4" t="n">
        <f aca="false">H22+K22+N22</f>
        <v>-1781</v>
      </c>
      <c r="Q22" s="4" t="n">
        <f aca="false">Q21+P22</f>
        <v>5720</v>
      </c>
      <c r="R22" s="4" t="n">
        <f aca="false">Q22-MAX(0,MAX($Q$2:Q22))</f>
        <v>-5596</v>
      </c>
    </row>
    <row r="23" customFormat="false" ht="15" hidden="false" customHeight="false" outlineLevel="0" collapsed="false">
      <c r="A23" s="7" t="n">
        <v>43034</v>
      </c>
      <c r="B23" s="8" t="n">
        <f aca="false">YEAR(A23)</f>
        <v>2017</v>
      </c>
      <c r="C23" s="8" t="n">
        <f aca="false">MONTH(A23)</f>
        <v>10</v>
      </c>
      <c r="D23" s="8" t="s">
        <v>36</v>
      </c>
      <c r="E23" s="9" t="n">
        <v>10291.8</v>
      </c>
      <c r="F23" s="10" t="n">
        <v>11.76</v>
      </c>
      <c r="G23" s="11" t="n">
        <v>59.1</v>
      </c>
      <c r="H23" s="4" t="n">
        <v>1550</v>
      </c>
      <c r="I23" s="8" t="n">
        <v>1</v>
      </c>
      <c r="J23" s="11" t="n">
        <v>58.4</v>
      </c>
      <c r="K23" s="4" t="n">
        <v>1634</v>
      </c>
      <c r="L23" s="8" t="n">
        <v>1</v>
      </c>
      <c r="M23" s="11" t="n">
        <v>56.7</v>
      </c>
      <c r="N23" s="4" t="n">
        <v>1774</v>
      </c>
      <c r="O23" s="8" t="n">
        <v>1</v>
      </c>
      <c r="P23" s="4" t="n">
        <f aca="false">H23+K23+N23</f>
        <v>4958</v>
      </c>
      <c r="Q23" s="4" t="n">
        <f aca="false">Q22+P23</f>
        <v>10678</v>
      </c>
      <c r="R23" s="4" t="n">
        <f aca="false">Q23-MAX(0,MAX($Q$2:Q23))</f>
        <v>-638</v>
      </c>
    </row>
    <row r="24" customFormat="false" ht="15" hidden="false" customHeight="false" outlineLevel="0" collapsed="false">
      <c r="A24" s="7" t="n">
        <v>43069</v>
      </c>
      <c r="B24" s="8" t="n">
        <f aca="false">YEAR(A24)</f>
        <v>2017</v>
      </c>
      <c r="C24" s="8" t="n">
        <f aca="false">MONTH(A24)</f>
        <v>11</v>
      </c>
      <c r="D24" s="8" t="s">
        <v>36</v>
      </c>
      <c r="E24" s="9" t="n">
        <v>10332.7</v>
      </c>
      <c r="F24" s="10" t="n">
        <v>13.06</v>
      </c>
      <c r="G24" s="11" t="n">
        <v>50.5</v>
      </c>
      <c r="H24" s="4" t="n">
        <v>1227</v>
      </c>
      <c r="I24" s="8" t="n">
        <v>1</v>
      </c>
      <c r="J24" s="11" t="n">
        <v>50.1</v>
      </c>
      <c r="K24" s="4" t="n">
        <v>1362</v>
      </c>
      <c r="L24" s="8" t="n">
        <v>1</v>
      </c>
      <c r="M24" s="11" t="n">
        <v>48.1</v>
      </c>
      <c r="N24" s="4" t="n">
        <v>310</v>
      </c>
      <c r="O24" s="8" t="n">
        <v>1</v>
      </c>
      <c r="P24" s="4" t="n">
        <f aca="false">H24+K24+N24</f>
        <v>2899</v>
      </c>
      <c r="Q24" s="4" t="n">
        <f aca="false">Q23+P24</f>
        <v>13577</v>
      </c>
      <c r="R24" s="4" t="n">
        <f aca="false">Q24-MAX(0,MAX($Q$2:Q24))</f>
        <v>0</v>
      </c>
    </row>
    <row r="25" customFormat="false" ht="15" hidden="false" customHeight="false" outlineLevel="0" collapsed="false">
      <c r="A25" s="7" t="n">
        <v>43097</v>
      </c>
      <c r="B25" s="8" t="n">
        <f aca="false">YEAR(A25)</f>
        <v>2017</v>
      </c>
      <c r="C25" s="8" t="n">
        <f aca="false">MONTH(A25)</f>
        <v>12</v>
      </c>
      <c r="D25" s="8" t="s">
        <v>36</v>
      </c>
      <c r="E25" s="9" t="n">
        <v>10498.2</v>
      </c>
      <c r="F25" s="10" t="n">
        <v>12.49</v>
      </c>
      <c r="G25" s="11" t="n">
        <v>51.4</v>
      </c>
      <c r="H25" s="4" t="n">
        <v>1691</v>
      </c>
      <c r="I25" s="8" t="n">
        <v>1</v>
      </c>
      <c r="J25" s="11" t="n">
        <v>49.2</v>
      </c>
      <c r="K25" s="4" t="n">
        <v>1346</v>
      </c>
      <c r="L25" s="8" t="n">
        <v>1</v>
      </c>
      <c r="M25" s="11" t="n">
        <v>46.4</v>
      </c>
      <c r="N25" s="4" t="n">
        <v>-810</v>
      </c>
      <c r="O25" s="8" t="n">
        <v>1</v>
      </c>
      <c r="P25" s="4" t="n">
        <f aca="false">H25+K25+N25</f>
        <v>2227</v>
      </c>
      <c r="Q25" s="4" t="n">
        <f aca="false">Q24+P25</f>
        <v>15804</v>
      </c>
      <c r="R25" s="4" t="n">
        <f aca="false">Q25-MAX(0,MAX($Q$2:Q25))</f>
        <v>0</v>
      </c>
    </row>
    <row r="26" customFormat="false" ht="15" hidden="false" customHeight="false" outlineLevel="0" collapsed="false">
      <c r="A26" s="7" t="n">
        <v>43125</v>
      </c>
      <c r="B26" s="8" t="n">
        <f aca="false">YEAR(A26)</f>
        <v>2018</v>
      </c>
      <c r="C26" s="8" t="n">
        <f aca="false">MONTH(A26)</f>
        <v>1</v>
      </c>
      <c r="D26" s="8" t="s">
        <v>36</v>
      </c>
      <c r="E26" s="9" t="n">
        <v>11095.6</v>
      </c>
      <c r="F26" s="10" t="n">
        <v>18.04</v>
      </c>
      <c r="G26" s="11" t="n">
        <v>55.3</v>
      </c>
      <c r="H26" s="4" t="n">
        <v>495</v>
      </c>
      <c r="I26" s="8" t="n">
        <v>1</v>
      </c>
      <c r="J26" s="11" t="n">
        <v>56.1</v>
      </c>
      <c r="K26" s="4" t="n">
        <v>-1374</v>
      </c>
      <c r="L26" s="8" t="n">
        <v>2</v>
      </c>
      <c r="M26" s="11" t="n">
        <v>53.8</v>
      </c>
      <c r="N26" s="4" t="n">
        <v>85</v>
      </c>
      <c r="O26" s="8" t="n">
        <v>1</v>
      </c>
      <c r="P26" s="4" t="n">
        <f aca="false">H26+K26+N26</f>
        <v>-794</v>
      </c>
      <c r="Q26" s="4" t="n">
        <f aca="false">Q25+P26</f>
        <v>15010</v>
      </c>
      <c r="R26" s="4" t="n">
        <f aca="false">Q26-MAX(0,MAX($Q$2:Q26))</f>
        <v>-794</v>
      </c>
    </row>
    <row r="27" customFormat="false" ht="15" hidden="false" customHeight="false" outlineLevel="0" collapsed="false">
      <c r="A27" s="7" t="n">
        <v>43153</v>
      </c>
      <c r="B27" s="8" t="n">
        <f aca="false">YEAR(A27)</f>
        <v>2018</v>
      </c>
      <c r="C27" s="8" t="n">
        <f aca="false">MONTH(A27)</f>
        <v>2</v>
      </c>
      <c r="D27" s="8" t="s">
        <v>36</v>
      </c>
      <c r="E27" s="9" t="n">
        <v>10354.4</v>
      </c>
      <c r="F27" s="10" t="n">
        <v>15.92</v>
      </c>
      <c r="G27" s="11" t="n">
        <v>58.9</v>
      </c>
      <c r="H27" s="4" t="n">
        <v>918</v>
      </c>
      <c r="I27" s="8" t="n">
        <v>1</v>
      </c>
      <c r="J27" s="11" t="n">
        <v>57.8</v>
      </c>
      <c r="K27" s="4" t="n">
        <v>1126</v>
      </c>
      <c r="L27" s="8" t="n">
        <v>1</v>
      </c>
      <c r="M27" s="11" t="n">
        <v>55.4</v>
      </c>
      <c r="N27" s="4" t="n">
        <v>831</v>
      </c>
      <c r="O27" s="8" t="n">
        <v>1</v>
      </c>
      <c r="P27" s="4" t="n">
        <f aca="false">H27+K27+N27</f>
        <v>2875</v>
      </c>
      <c r="Q27" s="4" t="n">
        <f aca="false">Q26+P27</f>
        <v>17885</v>
      </c>
      <c r="R27" s="4" t="n">
        <f aca="false">Q27-MAX(0,MAX($Q$2:Q27))</f>
        <v>0</v>
      </c>
    </row>
    <row r="28" customFormat="false" ht="15" hidden="false" customHeight="false" outlineLevel="0" collapsed="false">
      <c r="A28" s="7" t="n">
        <v>43187</v>
      </c>
      <c r="B28" s="8" t="n">
        <f aca="false">YEAR(A28)</f>
        <v>2018</v>
      </c>
      <c r="C28" s="8" t="n">
        <f aca="false">MONTH(A28)</f>
        <v>3</v>
      </c>
      <c r="D28" s="8" t="s">
        <v>37</v>
      </c>
      <c r="E28" s="9" t="n">
        <v>10143.6</v>
      </c>
      <c r="F28" s="10" t="n">
        <v>15.55</v>
      </c>
      <c r="G28" s="11" t="n">
        <v>51.7</v>
      </c>
      <c r="H28" s="4" t="n">
        <v>288</v>
      </c>
      <c r="I28" s="8" t="n">
        <v>1</v>
      </c>
      <c r="J28" s="11" t="n">
        <v>52.3</v>
      </c>
      <c r="K28" s="4" t="n">
        <v>-235</v>
      </c>
      <c r="L28" s="8" t="n">
        <v>1</v>
      </c>
      <c r="M28" s="11" t="n">
        <v>48.9</v>
      </c>
      <c r="N28" s="4" t="n">
        <v>186</v>
      </c>
      <c r="O28" s="8" t="n">
        <v>1</v>
      </c>
      <c r="P28" s="4" t="n">
        <f aca="false">H28+K28+N28</f>
        <v>239</v>
      </c>
      <c r="Q28" s="4" t="n">
        <f aca="false">Q27+P28</f>
        <v>18124</v>
      </c>
      <c r="R28" s="4" t="n">
        <f aca="false">Q28-MAX(0,MAX($Q$2:Q28))</f>
        <v>0</v>
      </c>
    </row>
    <row r="29" customFormat="false" ht="15" hidden="false" customHeight="false" outlineLevel="0" collapsed="false">
      <c r="A29" s="7" t="n">
        <v>43216</v>
      </c>
      <c r="B29" s="8" t="n">
        <f aca="false">YEAR(A29)</f>
        <v>2018</v>
      </c>
      <c r="C29" s="8" t="n">
        <f aca="false">MONTH(A29)</f>
        <v>4</v>
      </c>
      <c r="D29" s="8" t="s">
        <v>36</v>
      </c>
      <c r="E29" s="9" t="n">
        <v>10586.5</v>
      </c>
      <c r="F29" s="10" t="n">
        <v>12.4</v>
      </c>
      <c r="G29" s="11" t="n">
        <v>43.6</v>
      </c>
      <c r="H29" s="4" t="n">
        <v>-1118</v>
      </c>
      <c r="I29" s="8" t="n">
        <v>2</v>
      </c>
      <c r="J29" s="11" t="n">
        <v>43.4</v>
      </c>
      <c r="K29" s="4" t="n">
        <v>-1112</v>
      </c>
      <c r="L29" s="8" t="n">
        <v>2</v>
      </c>
      <c r="M29" s="11" t="n">
        <v>40.7</v>
      </c>
      <c r="N29" s="4" t="n">
        <v>-1058</v>
      </c>
      <c r="O29" s="8" t="n">
        <v>2</v>
      </c>
      <c r="P29" s="4" t="n">
        <f aca="false">H29+K29+N29</f>
        <v>-3288</v>
      </c>
      <c r="Q29" s="4" t="n">
        <f aca="false">Q28+P29</f>
        <v>14836</v>
      </c>
      <c r="R29" s="4" t="n">
        <f aca="false">Q29-MAX(0,MAX($Q$2:Q29))</f>
        <v>-3288</v>
      </c>
    </row>
    <row r="30" customFormat="false" ht="15" hidden="false" customHeight="false" outlineLevel="0" collapsed="false">
      <c r="A30" s="7" t="n">
        <v>43251</v>
      </c>
      <c r="B30" s="8" t="n">
        <f aca="false">YEAR(A30)</f>
        <v>2018</v>
      </c>
      <c r="C30" s="8" t="n">
        <f aca="false">MONTH(A30)</f>
        <v>5</v>
      </c>
      <c r="D30" s="8" t="s">
        <v>36</v>
      </c>
      <c r="E30" s="9" t="n">
        <v>10670.1</v>
      </c>
      <c r="F30" s="10" t="n">
        <v>13.41</v>
      </c>
      <c r="G30" s="11" t="n">
        <v>49.3</v>
      </c>
      <c r="H30" s="4" t="n">
        <v>-1234</v>
      </c>
      <c r="I30" s="8" t="n">
        <v>2</v>
      </c>
      <c r="J30" s="11" t="n">
        <v>48.2</v>
      </c>
      <c r="K30" s="4" t="n">
        <v>-1210</v>
      </c>
      <c r="L30" s="8" t="n">
        <v>2</v>
      </c>
      <c r="M30" s="11" t="n">
        <v>48.6</v>
      </c>
      <c r="N30" s="4" t="n">
        <v>1677</v>
      </c>
      <c r="O30" s="8" t="n">
        <v>1</v>
      </c>
      <c r="P30" s="4" t="n">
        <f aca="false">H30+K30+N30</f>
        <v>-767</v>
      </c>
      <c r="Q30" s="4" t="n">
        <f aca="false">Q29+P30</f>
        <v>14069</v>
      </c>
      <c r="R30" s="4" t="n">
        <f aca="false">Q30-MAX(0,MAX($Q$2:Q30))</f>
        <v>-4055</v>
      </c>
    </row>
    <row r="31" customFormat="false" ht="15" hidden="false" customHeight="false" outlineLevel="0" collapsed="false">
      <c r="A31" s="7" t="n">
        <v>43279</v>
      </c>
      <c r="B31" s="8" t="n">
        <f aca="false">YEAR(A31)</f>
        <v>2018</v>
      </c>
      <c r="C31" s="8" t="n">
        <f aca="false">MONTH(A31)</f>
        <v>6</v>
      </c>
      <c r="D31" s="8" t="s">
        <v>36</v>
      </c>
      <c r="E31" s="9" t="n">
        <v>10660.8</v>
      </c>
      <c r="F31" s="10" t="n">
        <v>13.51</v>
      </c>
      <c r="G31" s="11" t="n">
        <v>58.5</v>
      </c>
      <c r="H31" s="4" t="n">
        <v>-1421</v>
      </c>
      <c r="I31" s="8" t="n">
        <v>2</v>
      </c>
      <c r="J31" s="11" t="n">
        <v>57</v>
      </c>
      <c r="K31" s="4" t="n">
        <v>-1392</v>
      </c>
      <c r="L31" s="8" t="n">
        <v>2</v>
      </c>
      <c r="M31" s="11" t="n">
        <v>55.5</v>
      </c>
      <c r="N31" s="4" t="n">
        <v>1552</v>
      </c>
      <c r="O31" s="8" t="n">
        <v>1</v>
      </c>
      <c r="P31" s="4" t="n">
        <f aca="false">H31+K31+N31</f>
        <v>-1261</v>
      </c>
      <c r="Q31" s="4" t="n">
        <f aca="false">Q30+P31</f>
        <v>12808</v>
      </c>
      <c r="R31" s="4" t="n">
        <f aca="false">Q31-MAX(0,MAX($Q$2:Q31))</f>
        <v>-5316</v>
      </c>
    </row>
    <row r="32" customFormat="false" ht="15" hidden="false" customHeight="false" outlineLevel="0" collapsed="false">
      <c r="A32" s="7" t="n">
        <v>43307</v>
      </c>
      <c r="B32" s="8" t="n">
        <f aca="false">YEAR(A32)</f>
        <v>2018</v>
      </c>
      <c r="C32" s="8" t="n">
        <f aca="false">MONTH(A32)</f>
        <v>7</v>
      </c>
      <c r="D32" s="8" t="s">
        <v>36</v>
      </c>
      <c r="E32" s="9" t="n">
        <v>11133</v>
      </c>
      <c r="F32" s="10" t="n">
        <v>12.21</v>
      </c>
      <c r="G32" s="11" t="n">
        <v>44.1</v>
      </c>
      <c r="H32" s="4" t="n">
        <v>-1127</v>
      </c>
      <c r="I32" s="8" t="n">
        <v>2</v>
      </c>
      <c r="J32" s="11" t="n">
        <v>44.8</v>
      </c>
      <c r="K32" s="4" t="n">
        <v>434</v>
      </c>
      <c r="L32" s="8" t="n">
        <v>1</v>
      </c>
      <c r="M32" s="11" t="n">
        <v>43.1</v>
      </c>
      <c r="N32" s="4" t="n">
        <v>404</v>
      </c>
      <c r="O32" s="8" t="n">
        <v>1</v>
      </c>
      <c r="P32" s="4" t="n">
        <f aca="false">H32+K32+N32</f>
        <v>-289</v>
      </c>
      <c r="Q32" s="4" t="n">
        <f aca="false">Q31+P32</f>
        <v>12519</v>
      </c>
      <c r="R32" s="4" t="n">
        <f aca="false">Q32-MAX(0,MAX($Q$2:Q32))</f>
        <v>-5605</v>
      </c>
    </row>
    <row r="33" customFormat="false" ht="15" hidden="false" customHeight="false" outlineLevel="0" collapsed="false">
      <c r="A33" s="7" t="n">
        <v>43342</v>
      </c>
      <c r="B33" s="8" t="n">
        <f aca="false">YEAR(A33)</f>
        <v>2018</v>
      </c>
      <c r="C33" s="8" t="n">
        <f aca="false">MONTH(A33)</f>
        <v>8</v>
      </c>
      <c r="D33" s="8" t="s">
        <v>36</v>
      </c>
      <c r="E33" s="9" t="n">
        <v>11694.8</v>
      </c>
      <c r="F33" s="10" t="n">
        <v>12.44</v>
      </c>
      <c r="G33" s="11" t="n">
        <v>48.3</v>
      </c>
      <c r="H33" s="4" t="n">
        <v>98</v>
      </c>
      <c r="I33" s="8" t="n">
        <v>1</v>
      </c>
      <c r="J33" s="11" t="n">
        <v>48.3</v>
      </c>
      <c r="K33" s="4" t="n">
        <v>1074</v>
      </c>
      <c r="L33" s="8" t="n">
        <v>0</v>
      </c>
      <c r="M33" s="11" t="n">
        <v>44.6</v>
      </c>
      <c r="N33" s="4" t="n">
        <v>196</v>
      </c>
      <c r="O33" s="8" t="n">
        <v>1</v>
      </c>
      <c r="P33" s="4" t="n">
        <f aca="false">H33+K33+N33</f>
        <v>1368</v>
      </c>
      <c r="Q33" s="4" t="n">
        <f aca="false">Q32+P33</f>
        <v>13887</v>
      </c>
      <c r="R33" s="4" t="n">
        <f aca="false">Q33-MAX(0,MAX($Q$2:Q33))</f>
        <v>-4237</v>
      </c>
    </row>
    <row r="34" customFormat="false" ht="15" hidden="false" customHeight="false" outlineLevel="0" collapsed="false">
      <c r="A34" s="7" t="n">
        <v>43370</v>
      </c>
      <c r="B34" s="8" t="n">
        <f aca="false">YEAR(A34)</f>
        <v>2018</v>
      </c>
      <c r="C34" s="8" t="n">
        <f aca="false">MONTH(A34)</f>
        <v>9</v>
      </c>
      <c r="D34" s="8" t="s">
        <v>36</v>
      </c>
      <c r="E34" s="9" t="n">
        <v>11079.8</v>
      </c>
      <c r="F34" s="10" t="n">
        <v>17.09</v>
      </c>
      <c r="G34" s="11" t="n">
        <v>89.9</v>
      </c>
      <c r="H34" s="4" t="n">
        <v>2922</v>
      </c>
      <c r="I34" s="8" t="n">
        <v>1</v>
      </c>
      <c r="J34" s="11" t="n">
        <v>86.6</v>
      </c>
      <c r="K34" s="4" t="n">
        <v>1144</v>
      </c>
      <c r="L34" s="8" t="n">
        <v>1</v>
      </c>
      <c r="M34" s="11" t="n">
        <v>82</v>
      </c>
      <c r="N34" s="4" t="n">
        <v>1718</v>
      </c>
      <c r="O34" s="8" t="n">
        <v>1</v>
      </c>
      <c r="P34" s="4" t="n">
        <f aca="false">H34+K34+N34</f>
        <v>5784</v>
      </c>
      <c r="Q34" s="4" t="n">
        <f aca="false">Q33+P34</f>
        <v>19671</v>
      </c>
      <c r="R34" s="4" t="n">
        <f aca="false">Q34-MAX(0,MAX($Q$2:Q34))</f>
        <v>0</v>
      </c>
    </row>
    <row r="35" customFormat="false" ht="15" hidden="false" customHeight="false" outlineLevel="0" collapsed="false">
      <c r="A35" s="7" t="n">
        <v>43398</v>
      </c>
      <c r="B35" s="8" t="n">
        <f aca="false">YEAR(A35)</f>
        <v>2018</v>
      </c>
      <c r="C35" s="8" t="n">
        <f aca="false">MONTH(A35)</f>
        <v>10</v>
      </c>
      <c r="D35" s="8" t="s">
        <v>36</v>
      </c>
      <c r="E35" s="9" t="n">
        <v>10135</v>
      </c>
      <c r="F35" s="10" t="n">
        <v>18.88</v>
      </c>
      <c r="G35" s="11" t="n">
        <v>82.5</v>
      </c>
      <c r="H35" s="4" t="n">
        <v>1620</v>
      </c>
      <c r="I35" s="8" t="n">
        <v>1</v>
      </c>
      <c r="J35" s="11" t="n">
        <v>81</v>
      </c>
      <c r="K35" s="4" t="n">
        <v>1456</v>
      </c>
      <c r="L35" s="8" t="n">
        <v>1</v>
      </c>
      <c r="M35" s="11" t="n">
        <v>78.9</v>
      </c>
      <c r="N35" s="4" t="n">
        <v>683</v>
      </c>
      <c r="O35" s="8" t="n">
        <v>1</v>
      </c>
      <c r="P35" s="4" t="n">
        <f aca="false">H35+K35+N35</f>
        <v>3759</v>
      </c>
      <c r="Q35" s="4" t="n">
        <f aca="false">Q34+P35</f>
        <v>23430</v>
      </c>
      <c r="R35" s="4" t="n">
        <f aca="false">Q35-MAX(0,MAX($Q$2:Q35))</f>
        <v>0</v>
      </c>
    </row>
    <row r="36" customFormat="false" ht="15" hidden="false" customHeight="false" outlineLevel="0" collapsed="false">
      <c r="A36" s="7" t="n">
        <v>43433</v>
      </c>
      <c r="B36" s="8" t="n">
        <f aca="false">YEAR(A36)</f>
        <v>2018</v>
      </c>
      <c r="C36" s="8" t="n">
        <f aca="false">MONTH(A36)</f>
        <v>11</v>
      </c>
      <c r="D36" s="8" t="s">
        <v>36</v>
      </c>
      <c r="E36" s="9" t="n">
        <v>10808.7</v>
      </c>
      <c r="F36" s="10" t="n">
        <v>17.96</v>
      </c>
      <c r="G36" s="11" t="n">
        <v>54.3</v>
      </c>
      <c r="H36" s="4" t="n">
        <v>1006</v>
      </c>
      <c r="I36" s="8" t="n">
        <v>1</v>
      </c>
      <c r="J36" s="11" t="n">
        <v>53.4</v>
      </c>
      <c r="K36" s="4" t="n">
        <v>1062</v>
      </c>
      <c r="L36" s="8" t="n">
        <v>1</v>
      </c>
      <c r="M36" s="11" t="n">
        <v>51.3</v>
      </c>
      <c r="N36" s="4" t="n">
        <v>633</v>
      </c>
      <c r="O36" s="8" t="n">
        <v>1</v>
      </c>
      <c r="P36" s="4" t="n">
        <f aca="false">H36+K36+N36</f>
        <v>2701</v>
      </c>
      <c r="Q36" s="4" t="n">
        <f aca="false">Q35+P36</f>
        <v>26131</v>
      </c>
      <c r="R36" s="4" t="n">
        <f aca="false">Q36-MAX(0,MAX($Q$2:Q36))</f>
        <v>0</v>
      </c>
    </row>
    <row r="37" customFormat="false" ht="15" hidden="false" customHeight="false" outlineLevel="0" collapsed="false">
      <c r="A37" s="7" t="n">
        <v>43461</v>
      </c>
      <c r="B37" s="8" t="n">
        <f aca="false">YEAR(A37)</f>
        <v>2018</v>
      </c>
      <c r="C37" s="8" t="n">
        <f aca="false">MONTH(A37)</f>
        <v>12</v>
      </c>
      <c r="D37" s="8" t="s">
        <v>36</v>
      </c>
      <c r="E37" s="9" t="n">
        <v>10817.9</v>
      </c>
      <c r="F37" s="10" t="n">
        <v>15.92</v>
      </c>
      <c r="G37" s="11" t="n">
        <v>79.7</v>
      </c>
      <c r="H37" s="4" t="n">
        <v>1787</v>
      </c>
      <c r="I37" s="8" t="n">
        <v>1</v>
      </c>
      <c r="J37" s="11" t="n">
        <v>79.6</v>
      </c>
      <c r="K37" s="4" t="n">
        <v>2234</v>
      </c>
      <c r="L37" s="8" t="n">
        <v>1</v>
      </c>
      <c r="M37" s="11" t="n">
        <v>75.3</v>
      </c>
      <c r="N37" s="4" t="n">
        <v>647</v>
      </c>
      <c r="O37" s="8" t="n">
        <v>1</v>
      </c>
      <c r="P37" s="4" t="n">
        <f aca="false">H37+K37+N37</f>
        <v>4668</v>
      </c>
      <c r="Q37" s="4" t="n">
        <f aca="false">Q36+P37</f>
        <v>30799</v>
      </c>
      <c r="R37" s="4" t="n">
        <f aca="false">Q37-MAX(0,MAX($Q$2:Q37))</f>
        <v>0</v>
      </c>
    </row>
    <row r="38" customFormat="false" ht="15" hidden="false" customHeight="false" outlineLevel="0" collapsed="false">
      <c r="A38" s="7" t="n">
        <v>43496</v>
      </c>
      <c r="B38" s="8" t="n">
        <f aca="false">YEAR(A38)</f>
        <v>2019</v>
      </c>
      <c r="C38" s="8" t="n">
        <f aca="false">MONTH(A38)</f>
        <v>1</v>
      </c>
      <c r="D38" s="8" t="s">
        <v>36</v>
      </c>
      <c r="E38" s="9" t="n">
        <v>10690.6</v>
      </c>
      <c r="F38" s="10" t="n">
        <v>17.85</v>
      </c>
      <c r="G38" s="11" t="n">
        <v>56.6</v>
      </c>
      <c r="H38" s="4" t="n">
        <v>-1384</v>
      </c>
      <c r="I38" s="8" t="n">
        <v>2</v>
      </c>
      <c r="J38" s="11" t="n">
        <v>55.2</v>
      </c>
      <c r="K38" s="4" t="n">
        <v>-1355</v>
      </c>
      <c r="L38" s="8" t="n">
        <v>2</v>
      </c>
      <c r="M38" s="11" t="n">
        <v>53.2</v>
      </c>
      <c r="N38" s="4" t="n">
        <v>1275</v>
      </c>
      <c r="O38" s="8" t="n">
        <v>1</v>
      </c>
      <c r="P38" s="4" t="n">
        <f aca="false">H38+K38+N38</f>
        <v>-1464</v>
      </c>
      <c r="Q38" s="4" t="n">
        <f aca="false">Q37+P38</f>
        <v>29335</v>
      </c>
      <c r="R38" s="4" t="n">
        <f aca="false">Q38-MAX(0,MAX($Q$2:Q38))</f>
        <v>-1464</v>
      </c>
    </row>
    <row r="39" customFormat="false" ht="15" hidden="false" customHeight="false" outlineLevel="0" collapsed="false">
      <c r="A39" s="7" t="n">
        <v>43510</v>
      </c>
      <c r="B39" s="8" t="n">
        <f aca="false">YEAR(A39)</f>
        <v>2019</v>
      </c>
      <c r="C39" s="8" t="n">
        <f aca="false">MONTH(A39)</f>
        <v>2</v>
      </c>
      <c r="D39" s="8" t="s">
        <v>36</v>
      </c>
      <c r="E39" s="9" t="n">
        <v>10786.1</v>
      </c>
      <c r="F39" s="10" t="n">
        <v>15.75</v>
      </c>
      <c r="G39" s="11" t="n">
        <v>58.1</v>
      </c>
      <c r="H39" s="4" t="n">
        <v>-1413</v>
      </c>
      <c r="I39" s="8" t="n">
        <v>2</v>
      </c>
      <c r="J39" s="11" t="n">
        <v>58.3</v>
      </c>
      <c r="K39" s="4" t="n">
        <v>1816</v>
      </c>
      <c r="L39" s="8" t="n">
        <v>1</v>
      </c>
      <c r="M39" s="11" t="n">
        <v>53.6</v>
      </c>
      <c r="N39" s="4" t="n">
        <v>1000</v>
      </c>
      <c r="O39" s="8" t="n">
        <v>1</v>
      </c>
      <c r="P39" s="4" t="n">
        <f aca="false">H39+K39+N39</f>
        <v>1403</v>
      </c>
      <c r="Q39" s="4" t="n">
        <f aca="false">Q38+P39</f>
        <v>30738</v>
      </c>
      <c r="R39" s="4" t="n">
        <f aca="false">Q39-MAX(0,MAX($Q$2:Q39))</f>
        <v>-61</v>
      </c>
    </row>
    <row r="40" customFormat="false" ht="15" hidden="false" customHeight="false" outlineLevel="0" collapsed="false">
      <c r="A40" s="7" t="n">
        <v>43517</v>
      </c>
      <c r="B40" s="8" t="n">
        <f aca="false">YEAR(A40)</f>
        <v>2019</v>
      </c>
      <c r="C40" s="8" t="n">
        <f aca="false">MONTH(A40)</f>
        <v>2</v>
      </c>
      <c r="D40" s="8" t="s">
        <v>36</v>
      </c>
      <c r="E40" s="9" t="n">
        <v>10744.1</v>
      </c>
      <c r="F40" s="10" t="n">
        <v>17.06</v>
      </c>
      <c r="G40" s="11" t="n">
        <v>72.2</v>
      </c>
      <c r="H40" s="4" t="n">
        <v>-1702</v>
      </c>
      <c r="I40" s="8" t="n">
        <v>2</v>
      </c>
      <c r="J40" s="11" t="n">
        <v>71.4</v>
      </c>
      <c r="K40" s="4" t="n">
        <v>1825</v>
      </c>
      <c r="L40" s="8" t="n">
        <v>1</v>
      </c>
      <c r="M40" s="11" t="n">
        <v>68.7</v>
      </c>
      <c r="N40" s="4" t="n">
        <v>1899</v>
      </c>
      <c r="O40" s="8" t="n">
        <v>1</v>
      </c>
      <c r="P40" s="4" t="n">
        <f aca="false">H40+K40+N40</f>
        <v>2022</v>
      </c>
      <c r="Q40" s="4" t="n">
        <f aca="false">Q39+P40</f>
        <v>32760</v>
      </c>
      <c r="R40" s="4" t="n">
        <f aca="false">Q40-MAX(0,MAX($Q$2:Q40))</f>
        <v>0</v>
      </c>
    </row>
    <row r="41" customFormat="false" ht="15" hidden="false" customHeight="false" outlineLevel="0" collapsed="false">
      <c r="A41" s="7" t="n">
        <v>43524</v>
      </c>
      <c r="B41" s="8" t="n">
        <f aca="false">YEAR(A41)</f>
        <v>2019</v>
      </c>
      <c r="C41" s="8" t="n">
        <f aca="false">MONTH(A41)</f>
        <v>2</v>
      </c>
      <c r="D41" s="8" t="s">
        <v>36</v>
      </c>
      <c r="E41" s="9" t="n">
        <v>10865.7</v>
      </c>
      <c r="F41" s="10" t="n">
        <v>18.9</v>
      </c>
      <c r="G41" s="11" t="n">
        <v>78.5</v>
      </c>
      <c r="H41" s="4" t="n">
        <v>937</v>
      </c>
      <c r="I41" s="8" t="n">
        <v>1</v>
      </c>
      <c r="J41" s="11" t="n">
        <v>77.9</v>
      </c>
      <c r="K41" s="4" t="n">
        <v>3680</v>
      </c>
      <c r="L41" s="8" t="n">
        <v>0</v>
      </c>
      <c r="M41" s="11" t="n">
        <v>74.6</v>
      </c>
      <c r="N41" s="4" t="n">
        <v>635</v>
      </c>
      <c r="O41" s="8" t="n">
        <v>1</v>
      </c>
      <c r="P41" s="4" t="n">
        <f aca="false">H41+K41+N41</f>
        <v>5252</v>
      </c>
      <c r="Q41" s="4" t="n">
        <f aca="false">Q40+P41</f>
        <v>38012</v>
      </c>
      <c r="R41" s="4" t="n">
        <f aca="false">Q41-MAX(0,MAX($Q$2:Q41))</f>
        <v>0</v>
      </c>
    </row>
    <row r="42" customFormat="false" ht="15" hidden="false" customHeight="false" outlineLevel="0" collapsed="false">
      <c r="A42" s="7" t="n">
        <v>43531</v>
      </c>
      <c r="B42" s="8" t="n">
        <f aca="false">YEAR(A42)</f>
        <v>2019</v>
      </c>
      <c r="C42" s="8" t="n">
        <f aca="false">MONTH(A42)</f>
        <v>3</v>
      </c>
      <c r="D42" s="8" t="s">
        <v>36</v>
      </c>
      <c r="E42" s="9" t="n">
        <v>11078</v>
      </c>
      <c r="F42" s="10" t="n">
        <v>15.61</v>
      </c>
      <c r="G42" s="11" t="n">
        <v>52.3</v>
      </c>
      <c r="H42" s="4" t="n">
        <v>604</v>
      </c>
      <c r="I42" s="8" t="n">
        <v>1</v>
      </c>
      <c r="J42" s="11" t="n">
        <v>52.3</v>
      </c>
      <c r="K42" s="4" t="n">
        <v>819</v>
      </c>
      <c r="L42" s="8" t="n">
        <v>1</v>
      </c>
      <c r="M42" s="11" t="n">
        <v>49.2</v>
      </c>
      <c r="N42" s="4" t="n">
        <v>-1231</v>
      </c>
      <c r="O42" s="8" t="n">
        <v>2</v>
      </c>
      <c r="P42" s="4" t="n">
        <f aca="false">H42+K42+N42</f>
        <v>192</v>
      </c>
      <c r="Q42" s="4" t="n">
        <f aca="false">Q41+P42</f>
        <v>38204</v>
      </c>
      <c r="R42" s="4" t="n">
        <f aca="false">Q42-MAX(0,MAX($Q$2:Q42))</f>
        <v>0</v>
      </c>
    </row>
    <row r="43" customFormat="false" ht="15" hidden="false" customHeight="false" outlineLevel="0" collapsed="false">
      <c r="A43" s="7" t="n">
        <v>43538</v>
      </c>
      <c r="B43" s="8" t="n">
        <f aca="false">YEAR(A43)</f>
        <v>2019</v>
      </c>
      <c r="C43" s="8" t="n">
        <f aca="false">MONTH(A43)</f>
        <v>3</v>
      </c>
      <c r="D43" s="8" t="s">
        <v>36</v>
      </c>
      <c r="E43" s="9" t="n">
        <v>11382.5</v>
      </c>
      <c r="F43" s="10" t="n">
        <v>15.28</v>
      </c>
      <c r="G43" s="11" t="n">
        <v>61.8</v>
      </c>
      <c r="H43" s="4" t="n">
        <v>425</v>
      </c>
      <c r="I43" s="8" t="n">
        <v>1</v>
      </c>
      <c r="J43" s="11" t="n">
        <v>61.7</v>
      </c>
      <c r="K43" s="4" t="n">
        <v>1854</v>
      </c>
      <c r="L43" s="8" t="n">
        <v>1</v>
      </c>
      <c r="M43" s="11" t="n">
        <v>57.5</v>
      </c>
      <c r="N43" s="4" t="n">
        <v>1370</v>
      </c>
      <c r="O43" s="8" t="n">
        <v>1</v>
      </c>
      <c r="P43" s="4" t="n">
        <f aca="false">H43+K43+N43</f>
        <v>3649</v>
      </c>
      <c r="Q43" s="4" t="n">
        <f aca="false">Q42+P43</f>
        <v>41853</v>
      </c>
      <c r="R43" s="4" t="n">
        <f aca="false">Q43-MAX(0,MAX($Q$2:Q43))</f>
        <v>0</v>
      </c>
    </row>
    <row r="44" customFormat="false" ht="15" hidden="false" customHeight="false" outlineLevel="0" collapsed="false">
      <c r="A44" s="7" t="n">
        <v>43544</v>
      </c>
      <c r="B44" s="8" t="n">
        <f aca="false">YEAR(A44)</f>
        <v>2019</v>
      </c>
      <c r="C44" s="8" t="n">
        <f aca="false">MONTH(A44)</f>
        <v>3</v>
      </c>
      <c r="D44" s="8" t="s">
        <v>37</v>
      </c>
      <c r="E44" s="9" t="n">
        <v>11552</v>
      </c>
      <c r="F44" s="10" t="n">
        <v>16.49</v>
      </c>
      <c r="G44" s="11" t="n">
        <v>57.3</v>
      </c>
      <c r="H44" s="4" t="n">
        <v>-120</v>
      </c>
      <c r="I44" s="8" t="n">
        <v>1</v>
      </c>
      <c r="J44" s="11" t="n">
        <v>54.2</v>
      </c>
      <c r="K44" s="4" t="n">
        <v>169</v>
      </c>
      <c r="L44" s="8" t="n">
        <v>1</v>
      </c>
      <c r="M44" s="11" t="n">
        <v>51.2</v>
      </c>
      <c r="N44" s="4" t="n">
        <v>-1273</v>
      </c>
      <c r="O44" s="8" t="n">
        <v>2</v>
      </c>
      <c r="P44" s="4" t="n">
        <f aca="false">H44+K44+N44</f>
        <v>-1224</v>
      </c>
      <c r="Q44" s="4" t="n">
        <f aca="false">Q43+P44</f>
        <v>40629</v>
      </c>
      <c r="R44" s="4" t="n">
        <f aca="false">Q44-MAX(0,MAX($Q$2:Q44))</f>
        <v>-1224</v>
      </c>
    </row>
    <row r="45" customFormat="false" ht="15" hidden="false" customHeight="false" outlineLevel="0" collapsed="false">
      <c r="A45" s="7" t="n">
        <v>43552</v>
      </c>
      <c r="B45" s="8" t="n">
        <f aca="false">YEAR(A45)</f>
        <v>2019</v>
      </c>
      <c r="C45" s="8" t="n">
        <f aca="false">MONTH(A45)</f>
        <v>3</v>
      </c>
      <c r="D45" s="8" t="s">
        <v>36</v>
      </c>
      <c r="E45" s="9" t="n">
        <v>11463.6</v>
      </c>
      <c r="F45" s="10" t="n">
        <v>17.05</v>
      </c>
      <c r="G45" s="11" t="n">
        <v>53.9</v>
      </c>
      <c r="H45" s="4" t="n">
        <v>1541</v>
      </c>
      <c r="I45" s="8" t="n">
        <v>1</v>
      </c>
      <c r="J45" s="11" t="n">
        <v>53.3</v>
      </c>
      <c r="K45" s="4" t="n">
        <v>1600</v>
      </c>
      <c r="L45" s="8" t="n">
        <v>1</v>
      </c>
      <c r="M45" s="11" t="n">
        <v>50.8</v>
      </c>
      <c r="N45" s="4" t="n">
        <v>-1265</v>
      </c>
      <c r="O45" s="8" t="n">
        <v>2</v>
      </c>
      <c r="P45" s="4" t="n">
        <f aca="false">H45+K45+N45</f>
        <v>1876</v>
      </c>
      <c r="Q45" s="4" t="n">
        <f aca="false">Q44+P45</f>
        <v>42505</v>
      </c>
      <c r="R45" s="4" t="n">
        <f aca="false">Q45-MAX(0,MAX($Q$2:Q45))</f>
        <v>0</v>
      </c>
    </row>
    <row r="46" customFormat="false" ht="15" hidden="false" customHeight="false" outlineLevel="0" collapsed="false">
      <c r="A46" s="7" t="n">
        <v>43559</v>
      </c>
      <c r="B46" s="8" t="n">
        <f aca="false">YEAR(A46)</f>
        <v>2019</v>
      </c>
      <c r="C46" s="8" t="n">
        <f aca="false">MONTH(A46)</f>
        <v>4</v>
      </c>
      <c r="D46" s="8" t="s">
        <v>36</v>
      </c>
      <c r="E46" s="9" t="n">
        <v>11660.2</v>
      </c>
      <c r="F46" s="10" t="n">
        <v>18.78</v>
      </c>
      <c r="G46" s="11" t="n">
        <v>62.6</v>
      </c>
      <c r="H46" s="4" t="n">
        <v>1324</v>
      </c>
      <c r="I46" s="8" t="n">
        <v>1</v>
      </c>
      <c r="J46" s="11" t="n">
        <v>61.6</v>
      </c>
      <c r="K46" s="4" t="n">
        <v>1378</v>
      </c>
      <c r="L46" s="8" t="n">
        <v>1</v>
      </c>
      <c r="M46" s="11" t="n">
        <v>59</v>
      </c>
      <c r="N46" s="4" t="n">
        <v>777</v>
      </c>
      <c r="O46" s="8" t="n">
        <v>1</v>
      </c>
      <c r="P46" s="4" t="n">
        <f aca="false">H46+K46+N46</f>
        <v>3479</v>
      </c>
      <c r="Q46" s="4" t="n">
        <f aca="false">Q45+P46</f>
        <v>45984</v>
      </c>
      <c r="R46" s="4" t="n">
        <f aca="false">Q46-MAX(0,MAX($Q$2:Q46))</f>
        <v>0</v>
      </c>
    </row>
    <row r="47" customFormat="false" ht="15" hidden="false" customHeight="false" outlineLevel="0" collapsed="false">
      <c r="A47" s="7" t="n">
        <v>43566</v>
      </c>
      <c r="B47" s="8" t="n">
        <f aca="false">YEAR(A47)</f>
        <v>2019</v>
      </c>
      <c r="C47" s="8" t="n">
        <f aca="false">MONTH(A47)</f>
        <v>4</v>
      </c>
      <c r="D47" s="8" t="s">
        <v>36</v>
      </c>
      <c r="E47" s="9" t="n">
        <v>11592.6</v>
      </c>
      <c r="F47" s="10" t="n">
        <v>21.13</v>
      </c>
      <c r="G47" s="11" t="n">
        <v>54.4</v>
      </c>
      <c r="H47" s="4" t="n">
        <v>451</v>
      </c>
      <c r="I47" s="8" t="n">
        <v>1</v>
      </c>
      <c r="J47" s="11" t="n">
        <v>53.6</v>
      </c>
      <c r="K47" s="4" t="n">
        <v>-1321</v>
      </c>
      <c r="L47" s="8" t="n">
        <v>2</v>
      </c>
      <c r="M47" s="11" t="n">
        <v>52.4</v>
      </c>
      <c r="N47" s="4" t="n">
        <v>-1298</v>
      </c>
      <c r="O47" s="8" t="n">
        <v>2</v>
      </c>
      <c r="P47" s="4" t="n">
        <f aca="false">H47+K47+N47</f>
        <v>-2168</v>
      </c>
      <c r="Q47" s="4" t="n">
        <f aca="false">Q46+P47</f>
        <v>43816</v>
      </c>
      <c r="R47" s="4" t="n">
        <f aca="false">Q47-MAX(0,MAX($Q$2:Q47))</f>
        <v>-2168</v>
      </c>
    </row>
    <row r="48" customFormat="false" ht="15" hidden="false" customHeight="false" outlineLevel="0" collapsed="false">
      <c r="A48" s="7" t="n">
        <v>43573</v>
      </c>
      <c r="B48" s="8" t="n">
        <f aca="false">YEAR(A48)</f>
        <v>2019</v>
      </c>
      <c r="C48" s="8" t="n">
        <f aca="false">MONTH(A48)</f>
        <v>4</v>
      </c>
      <c r="D48" s="8" t="s">
        <v>36</v>
      </c>
      <c r="E48" s="9" t="n">
        <v>11856.2</v>
      </c>
      <c r="F48" s="10" t="n">
        <v>21.69</v>
      </c>
      <c r="G48" s="11" t="n">
        <v>51.2</v>
      </c>
      <c r="H48" s="4" t="n">
        <v>1899</v>
      </c>
      <c r="I48" s="8" t="n">
        <v>1</v>
      </c>
      <c r="J48" s="11" t="n">
        <v>50.3</v>
      </c>
      <c r="K48" s="4" t="n">
        <v>1854</v>
      </c>
      <c r="L48" s="8" t="n">
        <v>1</v>
      </c>
      <c r="M48" s="11" t="n">
        <v>48.3</v>
      </c>
      <c r="N48" s="4" t="n">
        <v>1269</v>
      </c>
      <c r="O48" s="8" t="n">
        <v>1</v>
      </c>
      <c r="P48" s="4" t="n">
        <f aca="false">H48+K48+N48</f>
        <v>5022</v>
      </c>
      <c r="Q48" s="4" t="n">
        <f aca="false">Q47+P48</f>
        <v>48838</v>
      </c>
      <c r="R48" s="4" t="n">
        <f aca="false">Q48-MAX(0,MAX($Q$2:Q48))</f>
        <v>0</v>
      </c>
    </row>
    <row r="49" customFormat="false" ht="15" hidden="false" customHeight="false" outlineLevel="0" collapsed="false">
      <c r="A49" s="7" t="n">
        <v>43580</v>
      </c>
      <c r="B49" s="8" t="n">
        <f aca="false">YEAR(A49)</f>
        <v>2019</v>
      </c>
      <c r="C49" s="8" t="n">
        <f aca="false">MONTH(A49)</f>
        <v>4</v>
      </c>
      <c r="D49" s="8" t="s">
        <v>36</v>
      </c>
      <c r="E49" s="9" t="n">
        <v>11735.7</v>
      </c>
      <c r="F49" s="10" t="n">
        <v>23.71</v>
      </c>
      <c r="G49" s="11" t="n">
        <v>50.7</v>
      </c>
      <c r="H49" s="4" t="n">
        <v>-1262</v>
      </c>
      <c r="I49" s="8" t="n">
        <v>2</v>
      </c>
      <c r="J49" s="11" t="n">
        <v>49.3</v>
      </c>
      <c r="K49" s="4" t="n">
        <v>-1233</v>
      </c>
      <c r="L49" s="8" t="n">
        <v>2</v>
      </c>
      <c r="M49" s="11" t="n">
        <v>47.2</v>
      </c>
      <c r="N49" s="4" t="n">
        <v>-1191</v>
      </c>
      <c r="O49" s="8" t="n">
        <v>2</v>
      </c>
      <c r="P49" s="4" t="n">
        <f aca="false">H49+K49+N49</f>
        <v>-3686</v>
      </c>
      <c r="Q49" s="4" t="n">
        <f aca="false">Q48+P49</f>
        <v>45152</v>
      </c>
      <c r="R49" s="4" t="n">
        <f aca="false">Q49-MAX(0,MAX($Q$2:Q49))</f>
        <v>-3686</v>
      </c>
    </row>
    <row r="50" customFormat="false" ht="15" hidden="false" customHeight="false" outlineLevel="0" collapsed="false">
      <c r="A50" s="7" t="n">
        <v>43587</v>
      </c>
      <c r="B50" s="8" t="n">
        <f aca="false">YEAR(A50)</f>
        <v>2019</v>
      </c>
      <c r="C50" s="8" t="n">
        <f aca="false">MONTH(A50)</f>
        <v>5</v>
      </c>
      <c r="D50" s="8" t="s">
        <v>36</v>
      </c>
      <c r="E50" s="9" t="n">
        <v>11725.6</v>
      </c>
      <c r="F50" s="10" t="n">
        <v>21.83</v>
      </c>
      <c r="G50" s="11" t="n">
        <v>72.2</v>
      </c>
      <c r="H50" s="4" t="n">
        <v>-1702</v>
      </c>
      <c r="I50" s="8" t="n">
        <v>2</v>
      </c>
      <c r="J50" s="11" t="n">
        <v>69.3</v>
      </c>
      <c r="K50" s="4" t="n">
        <v>577</v>
      </c>
      <c r="L50" s="8" t="n">
        <v>1</v>
      </c>
      <c r="M50" s="11" t="n">
        <v>65.3</v>
      </c>
      <c r="N50" s="4" t="n">
        <v>-1561</v>
      </c>
      <c r="O50" s="8" t="n">
        <v>2</v>
      </c>
      <c r="P50" s="4" t="n">
        <f aca="false">H50+K50+N50</f>
        <v>-2686</v>
      </c>
      <c r="Q50" s="4" t="n">
        <f aca="false">Q49+P50</f>
        <v>42466</v>
      </c>
      <c r="R50" s="4" t="n">
        <f aca="false">Q50-MAX(0,MAX($Q$2:Q50))</f>
        <v>-6372</v>
      </c>
    </row>
    <row r="51" customFormat="false" ht="15" hidden="false" customHeight="false" outlineLevel="0" collapsed="false">
      <c r="A51" s="7" t="n">
        <v>43594</v>
      </c>
      <c r="B51" s="8" t="n">
        <f aca="false">YEAR(A51)</f>
        <v>2019</v>
      </c>
      <c r="C51" s="8" t="n">
        <f aca="false">MONTH(A51)</f>
        <v>5</v>
      </c>
      <c r="D51" s="8" t="s">
        <v>36</v>
      </c>
      <c r="E51" s="9" t="n">
        <v>11322.4</v>
      </c>
      <c r="F51" s="10" t="n">
        <v>26.37</v>
      </c>
      <c r="G51" s="11" t="n">
        <v>68.8</v>
      </c>
      <c r="H51" s="4" t="n">
        <v>-1633</v>
      </c>
      <c r="I51" s="8" t="n">
        <v>2</v>
      </c>
      <c r="J51" s="11" t="n">
        <v>66.4</v>
      </c>
      <c r="K51" s="4" t="n">
        <v>-1583</v>
      </c>
      <c r="L51" s="8" t="n">
        <v>2</v>
      </c>
      <c r="M51" s="11" t="n">
        <v>64.9</v>
      </c>
      <c r="N51" s="4" t="n">
        <v>-1552</v>
      </c>
      <c r="O51" s="8" t="n">
        <v>2</v>
      </c>
      <c r="P51" s="4" t="n">
        <f aca="false">H51+K51+N51</f>
        <v>-4768</v>
      </c>
      <c r="Q51" s="4" t="n">
        <f aca="false">Q50+P51</f>
        <v>37698</v>
      </c>
      <c r="R51" s="4" t="n">
        <f aca="false">Q51-MAX(0,MAX($Q$2:Q51))</f>
        <v>-11140</v>
      </c>
    </row>
    <row r="52" customFormat="false" ht="15" hidden="false" customHeight="false" outlineLevel="0" collapsed="false">
      <c r="A52" s="7" t="n">
        <v>43601</v>
      </c>
      <c r="B52" s="8" t="n">
        <f aca="false">YEAR(A52)</f>
        <v>2019</v>
      </c>
      <c r="C52" s="8" t="n">
        <f aca="false">MONTH(A52)</f>
        <v>5</v>
      </c>
      <c r="D52" s="8" t="s">
        <v>36</v>
      </c>
      <c r="E52" s="9" t="n">
        <v>11180.4</v>
      </c>
      <c r="F52" s="10" t="n">
        <v>28.66</v>
      </c>
      <c r="G52" s="11" t="n">
        <v>72.6</v>
      </c>
      <c r="H52" s="4" t="n">
        <v>712</v>
      </c>
      <c r="I52" s="8" t="n">
        <v>1</v>
      </c>
      <c r="J52" s="11" t="n">
        <v>72.5</v>
      </c>
      <c r="K52" s="4" t="n">
        <v>-1708</v>
      </c>
      <c r="L52" s="8" t="n">
        <v>2</v>
      </c>
      <c r="M52" s="11" t="n">
        <v>67.9</v>
      </c>
      <c r="N52" s="4" t="n">
        <v>766</v>
      </c>
      <c r="O52" s="8" t="n">
        <v>1</v>
      </c>
      <c r="P52" s="4" t="n">
        <f aca="false">H52+K52+N52</f>
        <v>-230</v>
      </c>
      <c r="Q52" s="4" t="n">
        <f aca="false">Q51+P52</f>
        <v>37468</v>
      </c>
      <c r="R52" s="4" t="n">
        <f aca="false">Q52-MAX(0,MAX($Q$2:Q52))</f>
        <v>-11370</v>
      </c>
    </row>
    <row r="53" customFormat="false" ht="15" hidden="false" customHeight="false" outlineLevel="0" collapsed="false">
      <c r="A53" s="7" t="n">
        <v>43608</v>
      </c>
      <c r="B53" s="8" t="n">
        <f aca="false">YEAR(A53)</f>
        <v>2019</v>
      </c>
      <c r="C53" s="8" t="n">
        <f aca="false">MONTH(A53)</f>
        <v>5</v>
      </c>
      <c r="D53" s="8" t="s">
        <v>36</v>
      </c>
      <c r="E53" s="9" t="n">
        <v>11901.3</v>
      </c>
      <c r="F53" s="10" t="n">
        <v>27.63</v>
      </c>
      <c r="G53" s="11" t="n">
        <v>380</v>
      </c>
      <c r="H53" s="4" t="n">
        <v>7486</v>
      </c>
      <c r="I53" s="8" t="n">
        <v>1</v>
      </c>
      <c r="J53" s="11" t="n">
        <v>372.3</v>
      </c>
      <c r="K53" s="4" t="n">
        <v>8787</v>
      </c>
      <c r="L53" s="8" t="n">
        <v>1</v>
      </c>
      <c r="M53" s="11" t="n">
        <v>357.2</v>
      </c>
      <c r="N53" s="4" t="n">
        <v>7678</v>
      </c>
      <c r="O53" s="8" t="n">
        <v>1</v>
      </c>
      <c r="P53" s="4" t="n">
        <f aca="false">H53+K53+N53</f>
        <v>23951</v>
      </c>
      <c r="Q53" s="4" t="n">
        <f aca="false">Q52+P53</f>
        <v>61419</v>
      </c>
      <c r="R53" s="4" t="n">
        <f aca="false">Q53-MAX(0,MAX($Q$2:Q53))</f>
        <v>0</v>
      </c>
    </row>
    <row r="54" customFormat="false" ht="15" hidden="false" customHeight="false" outlineLevel="0" collapsed="false">
      <c r="A54" s="7" t="n">
        <v>43615</v>
      </c>
      <c r="B54" s="8" t="n">
        <f aca="false">YEAR(A54)</f>
        <v>2019</v>
      </c>
      <c r="C54" s="8" t="n">
        <f aca="false">MONTH(A54)</f>
        <v>5</v>
      </c>
      <c r="D54" s="8" t="s">
        <v>36</v>
      </c>
      <c r="E54" s="9" t="n">
        <v>11865.3</v>
      </c>
      <c r="F54" s="10" t="n">
        <v>16.41</v>
      </c>
      <c r="G54" s="11" t="n">
        <v>61.9</v>
      </c>
      <c r="H54" s="4" t="n">
        <v>2054</v>
      </c>
      <c r="I54" s="8" t="n">
        <v>1</v>
      </c>
      <c r="J54" s="11" t="n">
        <v>62.5</v>
      </c>
      <c r="K54" s="4" t="n">
        <v>-16</v>
      </c>
      <c r="L54" s="8" t="n">
        <v>1</v>
      </c>
      <c r="M54" s="11" t="n">
        <v>57.1</v>
      </c>
      <c r="N54" s="4" t="n">
        <v>477</v>
      </c>
      <c r="O54" s="8" t="n">
        <v>1</v>
      </c>
      <c r="P54" s="4" t="n">
        <f aca="false">H54+K54+N54</f>
        <v>2515</v>
      </c>
      <c r="Q54" s="4" t="n">
        <f aca="false">Q53+P54</f>
        <v>63934</v>
      </c>
      <c r="R54" s="4" t="n">
        <f aca="false">Q54-MAX(0,MAX($Q$2:Q54))</f>
        <v>0</v>
      </c>
    </row>
    <row r="55" customFormat="false" ht="15" hidden="false" customHeight="false" outlineLevel="0" collapsed="false">
      <c r="A55" s="7" t="n">
        <v>43622</v>
      </c>
      <c r="B55" s="8" t="n">
        <f aca="false">YEAR(A55)</f>
        <v>2019</v>
      </c>
      <c r="C55" s="8" t="n">
        <f aca="false">MONTH(A55)</f>
        <v>6</v>
      </c>
      <c r="D55" s="8" t="s">
        <v>36</v>
      </c>
      <c r="E55" s="9" t="n">
        <v>12039.8</v>
      </c>
      <c r="F55" s="10" t="n">
        <v>15.63</v>
      </c>
      <c r="G55" s="11" t="n">
        <v>67.9</v>
      </c>
      <c r="H55" s="4" t="n">
        <v>1560</v>
      </c>
      <c r="I55" s="8" t="n">
        <v>1</v>
      </c>
      <c r="J55" s="11" t="n">
        <v>67.7</v>
      </c>
      <c r="K55" s="4" t="n">
        <v>588</v>
      </c>
      <c r="L55" s="8" t="n">
        <v>1</v>
      </c>
      <c r="M55" s="11" t="n">
        <v>66.2</v>
      </c>
      <c r="N55" s="4" t="n">
        <v>2258</v>
      </c>
      <c r="O55" s="8" t="n">
        <v>1</v>
      </c>
      <c r="P55" s="4" t="n">
        <f aca="false">H55+K55+N55</f>
        <v>4406</v>
      </c>
      <c r="Q55" s="4" t="n">
        <f aca="false">Q54+P55</f>
        <v>68340</v>
      </c>
      <c r="R55" s="4" t="n">
        <f aca="false">Q55-MAX(0,MAX($Q$2:Q55))</f>
        <v>0</v>
      </c>
    </row>
    <row r="56" customFormat="false" ht="15" hidden="false" customHeight="false" outlineLevel="0" collapsed="false">
      <c r="A56" s="7" t="n">
        <v>43629</v>
      </c>
      <c r="B56" s="8" t="n">
        <f aca="false">YEAR(A56)</f>
        <v>2019</v>
      </c>
      <c r="C56" s="8" t="n">
        <f aca="false">MONTH(A56)</f>
        <v>6</v>
      </c>
      <c r="D56" s="8" t="s">
        <v>36</v>
      </c>
      <c r="E56" s="9" t="n">
        <v>11873.9</v>
      </c>
      <c r="F56" s="10" t="n">
        <v>14.12</v>
      </c>
      <c r="G56" s="11" t="n">
        <v>57.4</v>
      </c>
      <c r="H56" s="4" t="n">
        <v>-1398</v>
      </c>
      <c r="I56" s="8" t="n">
        <v>2</v>
      </c>
      <c r="J56" s="11" t="n">
        <v>58.3</v>
      </c>
      <c r="K56" s="4" t="n">
        <v>-1418</v>
      </c>
      <c r="L56" s="8" t="n">
        <v>2</v>
      </c>
      <c r="M56" s="11" t="n">
        <v>53</v>
      </c>
      <c r="N56" s="4" t="n">
        <v>-1310</v>
      </c>
      <c r="O56" s="8" t="n">
        <v>2</v>
      </c>
      <c r="P56" s="4" t="n">
        <f aca="false">H56+K56+N56</f>
        <v>-4126</v>
      </c>
      <c r="Q56" s="4" t="n">
        <f aca="false">Q55+P56</f>
        <v>64214</v>
      </c>
      <c r="R56" s="4" t="n">
        <f aca="false">Q56-MAX(0,MAX($Q$2:Q56))</f>
        <v>-4126</v>
      </c>
    </row>
    <row r="57" customFormat="false" ht="15" hidden="false" customHeight="false" outlineLevel="0" collapsed="false">
      <c r="A57" s="7" t="n">
        <v>43636</v>
      </c>
      <c r="B57" s="8" t="n">
        <f aca="false">YEAR(A57)</f>
        <v>2019</v>
      </c>
      <c r="C57" s="8" t="n">
        <f aca="false">MONTH(A57)</f>
        <v>6</v>
      </c>
      <c r="D57" s="8" t="s">
        <v>36</v>
      </c>
      <c r="E57" s="9" t="n">
        <v>11653.6</v>
      </c>
      <c r="F57" s="10" t="n">
        <v>14.73</v>
      </c>
      <c r="G57" s="11" t="n">
        <v>52.1</v>
      </c>
      <c r="H57" s="4" t="n">
        <v>1356</v>
      </c>
      <c r="I57" s="8" t="n">
        <v>1</v>
      </c>
      <c r="J57" s="11" t="n">
        <v>52.1</v>
      </c>
      <c r="K57" s="4" t="n">
        <v>282</v>
      </c>
      <c r="L57" s="8" t="n">
        <v>1</v>
      </c>
      <c r="M57" s="11" t="n">
        <v>49.9</v>
      </c>
      <c r="N57" s="4" t="n">
        <v>295</v>
      </c>
      <c r="O57" s="8" t="n">
        <v>1</v>
      </c>
      <c r="P57" s="4" t="n">
        <f aca="false">H57+K57+N57</f>
        <v>1933</v>
      </c>
      <c r="Q57" s="4" t="n">
        <f aca="false">Q56+P57</f>
        <v>66147</v>
      </c>
      <c r="R57" s="4" t="n">
        <f aca="false">Q57-MAX(0,MAX($Q$2:Q57))</f>
        <v>-2193</v>
      </c>
    </row>
    <row r="58" customFormat="false" ht="15" hidden="false" customHeight="false" outlineLevel="0" collapsed="false">
      <c r="A58" s="7" t="n">
        <v>43643</v>
      </c>
      <c r="B58" s="8" t="n">
        <f aca="false">YEAR(A58)</f>
        <v>2019</v>
      </c>
      <c r="C58" s="8" t="n">
        <f aca="false">MONTH(A58)</f>
        <v>6</v>
      </c>
      <c r="D58" s="8" t="s">
        <v>36</v>
      </c>
      <c r="E58" s="9" t="n">
        <v>11860.8</v>
      </c>
      <c r="F58" s="10" t="n">
        <v>14.75</v>
      </c>
      <c r="G58" s="11" t="n">
        <v>55.1</v>
      </c>
      <c r="H58" s="4" t="n">
        <v>318</v>
      </c>
      <c r="I58" s="8" t="n">
        <v>1</v>
      </c>
      <c r="J58" s="11" t="n">
        <v>57.1</v>
      </c>
      <c r="K58" s="4" t="n">
        <v>-1394</v>
      </c>
      <c r="L58" s="8" t="n">
        <v>2</v>
      </c>
      <c r="M58" s="11" t="n">
        <v>53</v>
      </c>
      <c r="N58" s="4" t="n">
        <v>-1309</v>
      </c>
      <c r="O58" s="8" t="n">
        <v>2</v>
      </c>
      <c r="P58" s="4" t="n">
        <f aca="false">H58+K58+N58</f>
        <v>-2385</v>
      </c>
      <c r="Q58" s="4" t="n">
        <f aca="false">Q57+P58</f>
        <v>63762</v>
      </c>
      <c r="R58" s="4" t="n">
        <f aca="false">Q58-MAX(0,MAX($Q$2:Q58))</f>
        <v>-4578</v>
      </c>
    </row>
    <row r="59" customFormat="false" ht="15" hidden="false" customHeight="false" outlineLevel="0" collapsed="false">
      <c r="A59" s="7" t="n">
        <v>43650</v>
      </c>
      <c r="B59" s="8" t="n">
        <f aca="false">YEAR(A59)</f>
        <v>2019</v>
      </c>
      <c r="C59" s="8" t="n">
        <f aca="false">MONTH(A59)</f>
        <v>7</v>
      </c>
      <c r="D59" s="8" t="s">
        <v>36</v>
      </c>
      <c r="E59" s="9" t="n">
        <v>11928.8</v>
      </c>
      <c r="F59" s="10" t="n">
        <v>13.7</v>
      </c>
      <c r="G59" s="11" t="n">
        <v>58.7</v>
      </c>
      <c r="H59" s="4" t="n">
        <v>1286</v>
      </c>
      <c r="I59" s="8" t="n">
        <v>1</v>
      </c>
      <c r="J59" s="11" t="n">
        <v>56.6</v>
      </c>
      <c r="K59" s="4" t="n">
        <v>751</v>
      </c>
      <c r="L59" s="8" t="n">
        <v>1</v>
      </c>
      <c r="M59" s="11" t="n">
        <v>54.4</v>
      </c>
      <c r="N59" s="4" t="n">
        <v>2553</v>
      </c>
      <c r="O59" s="8" t="n">
        <v>0</v>
      </c>
      <c r="P59" s="4" t="n">
        <f aca="false">H59+K59+N59</f>
        <v>4590</v>
      </c>
      <c r="Q59" s="4" t="n">
        <f aca="false">Q58+P59</f>
        <v>68352</v>
      </c>
      <c r="R59" s="4" t="n">
        <f aca="false">Q59-MAX(0,MAX($Q$2:Q59))</f>
        <v>0</v>
      </c>
    </row>
    <row r="60" customFormat="false" ht="15" hidden="false" customHeight="false" outlineLevel="0" collapsed="false">
      <c r="A60" s="7" t="n">
        <v>43657</v>
      </c>
      <c r="B60" s="8" t="n">
        <f aca="false">YEAR(A60)</f>
        <v>2019</v>
      </c>
      <c r="C60" s="8" t="n">
        <f aca="false">MONTH(A60)</f>
        <v>7</v>
      </c>
      <c r="D60" s="8" t="s">
        <v>36</v>
      </c>
      <c r="E60" s="9" t="n">
        <v>11561.4</v>
      </c>
      <c r="F60" s="10" t="n">
        <v>13.64</v>
      </c>
      <c r="G60" s="11" t="n">
        <v>55.7</v>
      </c>
      <c r="H60" s="4" t="n">
        <v>1529</v>
      </c>
      <c r="I60" s="8" t="n">
        <v>1</v>
      </c>
      <c r="J60" s="11" t="n">
        <v>54.7</v>
      </c>
      <c r="K60" s="4" t="n">
        <v>1487</v>
      </c>
      <c r="L60" s="8" t="n">
        <v>1</v>
      </c>
      <c r="M60" s="11" t="n">
        <v>51.6</v>
      </c>
      <c r="N60" s="4" t="n">
        <v>804</v>
      </c>
      <c r="O60" s="8" t="n">
        <v>1</v>
      </c>
      <c r="P60" s="4" t="n">
        <f aca="false">H60+K60+N60</f>
        <v>3820</v>
      </c>
      <c r="Q60" s="4" t="n">
        <f aca="false">Q59+P60</f>
        <v>72172</v>
      </c>
      <c r="R60" s="4" t="n">
        <f aca="false">Q60-MAX(0,MAX($Q$2:Q60))</f>
        <v>0</v>
      </c>
    </row>
    <row r="61" customFormat="false" ht="15" hidden="false" customHeight="false" outlineLevel="0" collapsed="false">
      <c r="A61" s="7" t="n">
        <v>43664</v>
      </c>
      <c r="B61" s="8" t="n">
        <f aca="false">YEAR(A61)</f>
        <v>2019</v>
      </c>
      <c r="C61" s="8" t="n">
        <f aca="false">MONTH(A61)</f>
        <v>7</v>
      </c>
      <c r="D61" s="8" t="s">
        <v>36</v>
      </c>
      <c r="E61" s="9" t="n">
        <v>11675.6</v>
      </c>
      <c r="F61" s="10" t="n">
        <v>11.8</v>
      </c>
      <c r="G61" s="11" t="n">
        <v>48.9</v>
      </c>
      <c r="H61" s="4" t="n">
        <v>1624</v>
      </c>
      <c r="I61" s="8" t="n">
        <v>1</v>
      </c>
      <c r="J61" s="11" t="n">
        <v>46</v>
      </c>
      <c r="K61" s="4" t="n">
        <v>-1166</v>
      </c>
      <c r="L61" s="8" t="n">
        <v>2</v>
      </c>
      <c r="M61" s="11" t="n">
        <v>47.1</v>
      </c>
      <c r="N61" s="4" t="n">
        <v>1721</v>
      </c>
      <c r="O61" s="8" t="n">
        <v>1</v>
      </c>
      <c r="P61" s="4" t="n">
        <f aca="false">H61+K61+N61</f>
        <v>2179</v>
      </c>
      <c r="Q61" s="4" t="n">
        <f aca="false">Q60+P61</f>
        <v>74351</v>
      </c>
      <c r="R61" s="4" t="n">
        <f aca="false">Q61-MAX(0,MAX($Q$2:Q61))</f>
        <v>0</v>
      </c>
    </row>
    <row r="62" customFormat="false" ht="15" hidden="false" customHeight="false" outlineLevel="0" collapsed="false">
      <c r="A62" s="7" t="n">
        <v>43671</v>
      </c>
      <c r="B62" s="8" t="n">
        <f aca="false">YEAR(A62)</f>
        <v>2019</v>
      </c>
      <c r="C62" s="8" t="n">
        <f aca="false">MONTH(A62)</f>
        <v>7</v>
      </c>
      <c r="D62" s="8" t="s">
        <v>36</v>
      </c>
      <c r="E62" s="9" t="n">
        <v>11290.4</v>
      </c>
      <c r="F62" s="10" t="n">
        <v>12.76</v>
      </c>
      <c r="G62" s="11" t="n">
        <v>64.3</v>
      </c>
      <c r="H62" s="4" t="n">
        <v>-1541</v>
      </c>
      <c r="I62" s="8" t="n">
        <v>2</v>
      </c>
      <c r="J62" s="11" t="n">
        <v>62.4</v>
      </c>
      <c r="K62" s="4" t="n">
        <v>-1502</v>
      </c>
      <c r="L62" s="8" t="n">
        <v>2</v>
      </c>
      <c r="M62" s="11" t="n">
        <v>58.8</v>
      </c>
      <c r="N62" s="4" t="n">
        <v>1211</v>
      </c>
      <c r="O62" s="8" t="n">
        <v>1</v>
      </c>
      <c r="P62" s="4" t="n">
        <f aca="false">H62+K62+N62</f>
        <v>-1832</v>
      </c>
      <c r="Q62" s="4" t="n">
        <f aca="false">Q61+P62</f>
        <v>72519</v>
      </c>
      <c r="R62" s="4" t="n">
        <f aca="false">Q62-MAX(0,MAX($Q$2:Q62))</f>
        <v>-1832</v>
      </c>
    </row>
    <row r="63" customFormat="false" ht="15" hidden="false" customHeight="false" outlineLevel="0" collapsed="false">
      <c r="A63" s="7" t="n">
        <v>43678</v>
      </c>
      <c r="B63" s="8" t="n">
        <f aca="false">YEAR(A63)</f>
        <v>2019</v>
      </c>
      <c r="C63" s="8" t="n">
        <f aca="false">MONTH(A63)</f>
        <v>8</v>
      </c>
      <c r="D63" s="8" t="s">
        <v>36</v>
      </c>
      <c r="E63" s="9" t="n">
        <v>11060.2</v>
      </c>
      <c r="F63" s="10" t="n">
        <v>13.59</v>
      </c>
      <c r="G63" s="11" t="n">
        <v>58.3</v>
      </c>
      <c r="H63" s="4" t="n">
        <v>1755</v>
      </c>
      <c r="I63" s="8" t="n">
        <v>1</v>
      </c>
      <c r="J63" s="11" t="n">
        <v>58.7</v>
      </c>
      <c r="K63" s="4" t="n">
        <v>139</v>
      </c>
      <c r="L63" s="8" t="n">
        <v>1</v>
      </c>
      <c r="M63" s="11" t="n">
        <v>53.5</v>
      </c>
      <c r="N63" s="4" t="n">
        <v>1115</v>
      </c>
      <c r="O63" s="8" t="n">
        <v>1</v>
      </c>
      <c r="P63" s="4" t="n">
        <f aca="false">H63+K63+N63</f>
        <v>3009</v>
      </c>
      <c r="Q63" s="4" t="n">
        <f aca="false">Q62+P63</f>
        <v>75528</v>
      </c>
      <c r="R63" s="4" t="n">
        <f aca="false">Q63-MAX(0,MAX($Q$2:Q63))</f>
        <v>0</v>
      </c>
    </row>
    <row r="64" customFormat="false" ht="15" hidden="false" customHeight="false" outlineLevel="0" collapsed="false">
      <c r="A64" s="7" t="n">
        <v>43685</v>
      </c>
      <c r="B64" s="8" t="n">
        <f aca="false">YEAR(A64)</f>
        <v>2019</v>
      </c>
      <c r="C64" s="8" t="n">
        <f aca="false">MONTH(A64)</f>
        <v>8</v>
      </c>
      <c r="D64" s="8" t="s">
        <v>36</v>
      </c>
      <c r="E64" s="9" t="n">
        <v>10899.2</v>
      </c>
      <c r="F64" s="10" t="n">
        <v>16.74</v>
      </c>
      <c r="G64" s="11" t="n">
        <v>95.3</v>
      </c>
      <c r="H64" s="4" t="n">
        <v>-2174</v>
      </c>
      <c r="I64" s="8" t="n">
        <v>2</v>
      </c>
      <c r="J64" s="11" t="n">
        <v>94.1</v>
      </c>
      <c r="K64" s="4" t="n">
        <v>-2150</v>
      </c>
      <c r="L64" s="8" t="n">
        <v>2</v>
      </c>
      <c r="M64" s="11" t="n">
        <v>90.6</v>
      </c>
      <c r="N64" s="4" t="n">
        <v>742</v>
      </c>
      <c r="O64" s="8" t="n">
        <v>1</v>
      </c>
      <c r="P64" s="4" t="n">
        <f aca="false">H64+K64+N64</f>
        <v>-3582</v>
      </c>
      <c r="Q64" s="4" t="n">
        <f aca="false">Q63+P64</f>
        <v>71946</v>
      </c>
      <c r="R64" s="4" t="n">
        <f aca="false">Q64-MAX(0,MAX($Q$2:Q64))</f>
        <v>-3582</v>
      </c>
    </row>
    <row r="65" customFormat="false" ht="15" hidden="false" customHeight="false" outlineLevel="0" collapsed="false">
      <c r="A65" s="7" t="n">
        <v>43691</v>
      </c>
      <c r="B65" s="8" t="n">
        <f aca="false">YEAR(A65)</f>
        <v>2019</v>
      </c>
      <c r="C65" s="8" t="n">
        <f aca="false">MONTH(A65)</f>
        <v>8</v>
      </c>
      <c r="D65" s="8" t="s">
        <v>37</v>
      </c>
      <c r="E65" s="9" t="n">
        <v>11003.2</v>
      </c>
      <c r="F65" s="10" t="n">
        <v>17.78</v>
      </c>
      <c r="G65" s="11" t="n">
        <v>85.4</v>
      </c>
      <c r="H65" s="4" t="n">
        <v>-1973</v>
      </c>
      <c r="I65" s="8" t="n">
        <v>2</v>
      </c>
      <c r="J65" s="11" t="n">
        <v>83.3</v>
      </c>
      <c r="K65" s="4" t="n">
        <v>1025</v>
      </c>
      <c r="L65" s="8" t="n">
        <v>1</v>
      </c>
      <c r="M65" s="11" t="n">
        <v>78.9</v>
      </c>
      <c r="N65" s="4" t="n">
        <v>1459</v>
      </c>
      <c r="O65" s="8" t="n">
        <v>1</v>
      </c>
      <c r="P65" s="4" t="n">
        <f aca="false">H65+K65+N65</f>
        <v>511</v>
      </c>
      <c r="Q65" s="4" t="n">
        <f aca="false">Q64+P65</f>
        <v>72457</v>
      </c>
      <c r="R65" s="4" t="n">
        <f aca="false">Q65-MAX(0,MAX($Q$2:Q65))</f>
        <v>-3071</v>
      </c>
    </row>
    <row r="66" customFormat="false" ht="15" hidden="false" customHeight="false" outlineLevel="0" collapsed="false">
      <c r="A66" s="7" t="n">
        <v>43699</v>
      </c>
      <c r="B66" s="8" t="n">
        <f aca="false">YEAR(A66)</f>
        <v>2019</v>
      </c>
      <c r="C66" s="8" t="n">
        <f aca="false">MONTH(A66)</f>
        <v>8</v>
      </c>
      <c r="D66" s="8" t="s">
        <v>36</v>
      </c>
      <c r="E66" s="9" t="n">
        <v>10905.3</v>
      </c>
      <c r="F66" s="10" t="n">
        <v>17.02</v>
      </c>
      <c r="G66" s="11" t="n">
        <v>86.9</v>
      </c>
      <c r="H66" s="4" t="n">
        <v>2793</v>
      </c>
      <c r="I66" s="8" t="n">
        <v>1</v>
      </c>
      <c r="J66" s="11" t="n">
        <v>84.4</v>
      </c>
      <c r="K66" s="4" t="n">
        <v>905</v>
      </c>
      <c r="L66" s="8" t="n">
        <v>1</v>
      </c>
      <c r="M66" s="11" t="n">
        <v>80.4</v>
      </c>
      <c r="N66" s="4" t="n">
        <v>2239</v>
      </c>
      <c r="O66" s="8" t="n">
        <v>1</v>
      </c>
      <c r="P66" s="4" t="n">
        <f aca="false">H66+K66+N66</f>
        <v>5937</v>
      </c>
      <c r="Q66" s="4" t="n">
        <f aca="false">Q65+P66</f>
        <v>78394</v>
      </c>
      <c r="R66" s="4" t="n">
        <f aca="false">Q66-MAX(0,MAX($Q$2:Q66))</f>
        <v>0</v>
      </c>
    </row>
    <row r="67" customFormat="false" ht="15" hidden="false" customHeight="false" outlineLevel="0" collapsed="false">
      <c r="A67" s="7" t="n">
        <v>43706</v>
      </c>
      <c r="B67" s="8" t="n">
        <f aca="false">YEAR(A67)</f>
        <v>2019</v>
      </c>
      <c r="C67" s="8" t="n">
        <f aca="false">MONTH(A67)</f>
        <v>8</v>
      </c>
      <c r="D67" s="8" t="s">
        <v>36</v>
      </c>
      <c r="E67" s="9" t="n">
        <v>10996</v>
      </c>
      <c r="F67" s="10" t="n">
        <v>16.84</v>
      </c>
      <c r="G67" s="11" t="n">
        <v>73.9</v>
      </c>
      <c r="H67" s="4" t="n">
        <v>1770</v>
      </c>
      <c r="I67" s="8" t="n">
        <v>1</v>
      </c>
      <c r="J67" s="11" t="n">
        <v>72.5</v>
      </c>
      <c r="K67" s="4" t="n">
        <v>-1708</v>
      </c>
      <c r="L67" s="8" t="n">
        <v>2</v>
      </c>
      <c r="M67" s="11" t="n">
        <v>69.3</v>
      </c>
      <c r="N67" s="4" t="n">
        <v>1520</v>
      </c>
      <c r="O67" s="8" t="n">
        <v>1</v>
      </c>
      <c r="P67" s="4" t="n">
        <f aca="false">H67+K67+N67</f>
        <v>1582</v>
      </c>
      <c r="Q67" s="4" t="n">
        <f aca="false">Q66+P67</f>
        <v>79976</v>
      </c>
      <c r="R67" s="4" t="n">
        <f aca="false">Q67-MAX(0,MAX($Q$2:Q67))</f>
        <v>0</v>
      </c>
    </row>
    <row r="68" customFormat="false" ht="15" hidden="false" customHeight="false" outlineLevel="0" collapsed="false">
      <c r="A68" s="7" t="n">
        <v>43713</v>
      </c>
      <c r="B68" s="8" t="n">
        <f aca="false">YEAR(A68)</f>
        <v>2019</v>
      </c>
      <c r="C68" s="8" t="n">
        <f aca="false">MONTH(A68)</f>
        <v>9</v>
      </c>
      <c r="D68" s="8" t="s">
        <v>36</v>
      </c>
      <c r="E68" s="9" t="n">
        <v>10861</v>
      </c>
      <c r="F68" s="10" t="n">
        <v>17.24</v>
      </c>
      <c r="G68" s="11" t="n">
        <v>88.8</v>
      </c>
      <c r="H68" s="4" t="n">
        <v>2068</v>
      </c>
      <c r="I68" s="8" t="n">
        <v>1</v>
      </c>
      <c r="J68" s="11" t="n">
        <v>87.9</v>
      </c>
      <c r="K68" s="4" t="n">
        <v>-2024</v>
      </c>
      <c r="L68" s="8" t="n">
        <v>2</v>
      </c>
      <c r="M68" s="11" t="n">
        <v>83.3</v>
      </c>
      <c r="N68" s="4" t="n">
        <v>1782</v>
      </c>
      <c r="O68" s="8" t="n">
        <v>1</v>
      </c>
      <c r="P68" s="4" t="n">
        <f aca="false">H68+K68+N68</f>
        <v>1826</v>
      </c>
      <c r="Q68" s="4" t="n">
        <f aca="false">Q67+P68</f>
        <v>81802</v>
      </c>
      <c r="R68" s="4" t="n">
        <f aca="false">Q68-MAX(0,MAX($Q$2:Q68))</f>
        <v>0</v>
      </c>
    </row>
    <row r="69" customFormat="false" ht="15" hidden="false" customHeight="false" outlineLevel="0" collapsed="false">
      <c r="A69" s="7" t="n">
        <v>43720</v>
      </c>
      <c r="B69" s="8" t="n">
        <f aca="false">YEAR(A69)</f>
        <v>2019</v>
      </c>
      <c r="C69" s="8" t="n">
        <f aca="false">MONTH(A69)</f>
        <v>9</v>
      </c>
      <c r="D69" s="8" t="s">
        <v>36</v>
      </c>
      <c r="E69" s="9" t="n">
        <v>11058.3</v>
      </c>
      <c r="F69" s="10" t="n">
        <v>15.37</v>
      </c>
      <c r="G69" s="11" t="n">
        <v>77.7</v>
      </c>
      <c r="H69" s="4" t="n">
        <v>2540</v>
      </c>
      <c r="I69" s="8" t="n">
        <v>1</v>
      </c>
      <c r="J69" s="11" t="n">
        <v>76.3</v>
      </c>
      <c r="K69" s="4" t="n">
        <v>2486</v>
      </c>
      <c r="L69" s="8" t="n">
        <v>1</v>
      </c>
      <c r="M69" s="11" t="n">
        <v>73.2</v>
      </c>
      <c r="N69" s="4" t="n">
        <v>2414</v>
      </c>
      <c r="O69" s="8" t="n">
        <v>1</v>
      </c>
      <c r="P69" s="4" t="n">
        <f aca="false">H69+K69+N69</f>
        <v>7440</v>
      </c>
      <c r="Q69" s="4" t="n">
        <f aca="false">Q68+P69</f>
        <v>89242</v>
      </c>
      <c r="R69" s="4" t="n">
        <f aca="false">Q69-MAX(0,MAX($Q$2:Q69))</f>
        <v>0</v>
      </c>
    </row>
    <row r="70" customFormat="false" ht="15" hidden="false" customHeight="false" outlineLevel="0" collapsed="false">
      <c r="A70" s="7" t="n">
        <v>43727</v>
      </c>
      <c r="B70" s="8" t="n">
        <f aca="false">YEAR(A70)</f>
        <v>2019</v>
      </c>
      <c r="C70" s="8" t="n">
        <f aca="false">MONTH(A70)</f>
        <v>9</v>
      </c>
      <c r="D70" s="8" t="s">
        <v>36</v>
      </c>
      <c r="E70" s="9" t="n">
        <v>10845.2</v>
      </c>
      <c r="F70" s="10" t="n">
        <v>15.35</v>
      </c>
      <c r="G70" s="11" t="n">
        <v>71</v>
      </c>
      <c r="H70" s="4" t="n">
        <v>1226</v>
      </c>
      <c r="I70" s="8" t="n">
        <v>1</v>
      </c>
      <c r="J70" s="11" t="n">
        <v>72.4</v>
      </c>
      <c r="K70" s="4" t="n">
        <v>2479</v>
      </c>
      <c r="L70" s="8" t="n">
        <v>1</v>
      </c>
      <c r="M70" s="11" t="n">
        <v>68.8</v>
      </c>
      <c r="N70" s="4" t="n">
        <v>379</v>
      </c>
      <c r="O70" s="8" t="n">
        <v>1</v>
      </c>
      <c r="P70" s="4" t="n">
        <f aca="false">H70+K70+N70</f>
        <v>4084</v>
      </c>
      <c r="Q70" s="4" t="n">
        <f aca="false">Q69+P70</f>
        <v>93326</v>
      </c>
      <c r="R70" s="4" t="n">
        <f aca="false">Q70-MAX(0,MAX($Q$2:Q70))</f>
        <v>0</v>
      </c>
    </row>
    <row r="71" customFormat="false" ht="15" hidden="false" customHeight="false" outlineLevel="0" collapsed="false">
      <c r="A71" s="7" t="n">
        <v>43734</v>
      </c>
      <c r="B71" s="8" t="n">
        <f aca="false">YEAR(A71)</f>
        <v>2019</v>
      </c>
      <c r="C71" s="8" t="n">
        <f aca="false">MONTH(A71)</f>
        <v>9</v>
      </c>
      <c r="D71" s="8" t="s">
        <v>36</v>
      </c>
      <c r="E71" s="9" t="n">
        <v>11469.8</v>
      </c>
      <c r="F71" s="10" t="n">
        <v>16.17</v>
      </c>
      <c r="G71" s="11" t="n">
        <v>80.9</v>
      </c>
      <c r="H71" s="4" t="n">
        <v>667</v>
      </c>
      <c r="I71" s="8" t="n">
        <v>1</v>
      </c>
      <c r="J71" s="11" t="n">
        <v>78.2</v>
      </c>
      <c r="K71" s="4" t="n">
        <v>-1825</v>
      </c>
      <c r="L71" s="8" t="n">
        <v>2</v>
      </c>
      <c r="M71" s="11" t="n">
        <v>75.2</v>
      </c>
      <c r="N71" s="4" t="n">
        <v>-1764</v>
      </c>
      <c r="O71" s="8" t="n">
        <v>2</v>
      </c>
      <c r="P71" s="4" t="n">
        <f aca="false">H71+K71+N71</f>
        <v>-2922</v>
      </c>
      <c r="Q71" s="4" t="n">
        <f aca="false">Q70+P71</f>
        <v>90404</v>
      </c>
      <c r="R71" s="4" t="n">
        <f aca="false">Q71-MAX(0,MAX($Q$2:Q71))</f>
        <v>-2922</v>
      </c>
    </row>
    <row r="72" customFormat="false" ht="15" hidden="false" customHeight="false" outlineLevel="0" collapsed="false">
      <c r="A72" s="7" t="n">
        <v>43741</v>
      </c>
      <c r="B72" s="8" t="n">
        <f aca="false">YEAR(A72)</f>
        <v>2019</v>
      </c>
      <c r="C72" s="8" t="n">
        <f aca="false">MONTH(A72)</f>
        <v>10</v>
      </c>
      <c r="D72" s="8" t="s">
        <v>36</v>
      </c>
      <c r="E72" s="9" t="n">
        <v>11322.2</v>
      </c>
      <c r="F72" s="10" t="n">
        <v>16.76</v>
      </c>
      <c r="G72" s="11" t="n">
        <v>83</v>
      </c>
      <c r="H72" s="4" t="n">
        <v>2132</v>
      </c>
      <c r="I72" s="8" t="n">
        <v>1</v>
      </c>
      <c r="J72" s="11" t="n">
        <v>80.5</v>
      </c>
      <c r="K72" s="4" t="n">
        <v>988</v>
      </c>
      <c r="L72" s="8" t="n">
        <v>1</v>
      </c>
      <c r="M72" s="11" t="n">
        <v>77.3</v>
      </c>
      <c r="N72" s="4" t="n">
        <v>820</v>
      </c>
      <c r="O72" s="8" t="n">
        <v>1</v>
      </c>
      <c r="P72" s="4" t="n">
        <f aca="false">H72+K72+N72</f>
        <v>3940</v>
      </c>
      <c r="Q72" s="4" t="n">
        <f aca="false">Q71+P72</f>
        <v>94344</v>
      </c>
      <c r="R72" s="4" t="n">
        <f aca="false">Q72-MAX(0,MAX($Q$2:Q72))</f>
        <v>0</v>
      </c>
    </row>
    <row r="73" customFormat="false" ht="15" hidden="false" customHeight="false" outlineLevel="0" collapsed="false">
      <c r="A73" s="7" t="n">
        <v>43748</v>
      </c>
      <c r="B73" s="8" t="n">
        <f aca="false">YEAR(A73)</f>
        <v>2019</v>
      </c>
      <c r="C73" s="8" t="n">
        <f aca="false">MONTH(A73)</f>
        <v>10</v>
      </c>
      <c r="D73" s="8" t="s">
        <v>36</v>
      </c>
      <c r="E73" s="9" t="n">
        <v>11280.5</v>
      </c>
      <c r="F73" s="10" t="n">
        <v>17.16</v>
      </c>
      <c r="G73" s="11" t="n">
        <v>80.1</v>
      </c>
      <c r="H73" s="4" t="n">
        <v>700</v>
      </c>
      <c r="I73" s="8" t="n">
        <v>1</v>
      </c>
      <c r="J73" s="11" t="n">
        <v>77.9</v>
      </c>
      <c r="K73" s="4" t="n">
        <v>-1818</v>
      </c>
      <c r="L73" s="8" t="n">
        <v>2</v>
      </c>
      <c r="M73" s="11" t="n">
        <v>75.5</v>
      </c>
      <c r="N73" s="4" t="n">
        <v>2212</v>
      </c>
      <c r="O73" s="8" t="n">
        <v>1</v>
      </c>
      <c r="P73" s="4" t="n">
        <f aca="false">H73+K73+N73</f>
        <v>1094</v>
      </c>
      <c r="Q73" s="4" t="n">
        <f aca="false">Q72+P73</f>
        <v>95438</v>
      </c>
      <c r="R73" s="4" t="n">
        <f aca="false">Q73-MAX(0,MAX($Q$2:Q73))</f>
        <v>0</v>
      </c>
    </row>
    <row r="74" customFormat="false" ht="15" hidden="false" customHeight="false" outlineLevel="0" collapsed="false">
      <c r="A74" s="7" t="n">
        <v>43755</v>
      </c>
      <c r="B74" s="8" t="n">
        <f aca="false">YEAR(A74)</f>
        <v>2019</v>
      </c>
      <c r="C74" s="8" t="n">
        <f aca="false">MONTH(A74)</f>
        <v>10</v>
      </c>
      <c r="D74" s="8" t="s">
        <v>36</v>
      </c>
      <c r="E74" s="9" t="n">
        <v>11466.3</v>
      </c>
      <c r="F74" s="10" t="n">
        <v>16.36</v>
      </c>
      <c r="G74" s="11" t="n">
        <v>79.8</v>
      </c>
      <c r="H74" s="4" t="n">
        <v>-1858</v>
      </c>
      <c r="I74" s="8" t="n">
        <v>2</v>
      </c>
      <c r="J74" s="11" t="n">
        <v>76.6</v>
      </c>
      <c r="K74" s="4" t="n">
        <v>963</v>
      </c>
      <c r="L74" s="8" t="n">
        <v>1</v>
      </c>
      <c r="M74" s="11" t="n">
        <v>75.9</v>
      </c>
      <c r="N74" s="4" t="n">
        <v>-1778</v>
      </c>
      <c r="O74" s="8" t="n">
        <v>2</v>
      </c>
      <c r="P74" s="4" t="n">
        <f aca="false">H74+K74+N74</f>
        <v>-2673</v>
      </c>
      <c r="Q74" s="4" t="n">
        <f aca="false">Q73+P74</f>
        <v>92765</v>
      </c>
      <c r="R74" s="4" t="n">
        <f aca="false">Q74-MAX(0,MAX($Q$2:Q74))</f>
        <v>-2673</v>
      </c>
    </row>
    <row r="75" customFormat="false" ht="15" hidden="false" customHeight="false" outlineLevel="0" collapsed="false">
      <c r="A75" s="7" t="n">
        <v>43762</v>
      </c>
      <c r="B75" s="8" t="n">
        <f aca="false">YEAR(A75)</f>
        <v>2019</v>
      </c>
      <c r="C75" s="8" t="n">
        <f aca="false">MONTH(A75)</f>
        <v>10</v>
      </c>
      <c r="D75" s="8" t="s">
        <v>36</v>
      </c>
      <c r="E75" s="9" t="n">
        <v>11661.6</v>
      </c>
      <c r="F75" s="10" t="n">
        <v>16.54</v>
      </c>
      <c r="G75" s="11" t="n">
        <v>59.6</v>
      </c>
      <c r="H75" s="4" t="n">
        <v>1372</v>
      </c>
      <c r="I75" s="8" t="n">
        <v>1</v>
      </c>
      <c r="J75" s="11" t="n">
        <v>58.9</v>
      </c>
      <c r="K75" s="4" t="n">
        <v>643</v>
      </c>
      <c r="L75" s="8" t="n">
        <v>1</v>
      </c>
      <c r="M75" s="11" t="n">
        <v>56.1</v>
      </c>
      <c r="N75" s="4" t="n">
        <v>-1373</v>
      </c>
      <c r="O75" s="8" t="n">
        <v>2</v>
      </c>
      <c r="P75" s="4" t="n">
        <f aca="false">H75+K75+N75</f>
        <v>642</v>
      </c>
      <c r="Q75" s="4" t="n">
        <f aca="false">Q74+P75</f>
        <v>93407</v>
      </c>
      <c r="R75" s="4" t="n">
        <f aca="false">Q75-MAX(0,MAX($Q$2:Q75))</f>
        <v>-2031</v>
      </c>
    </row>
    <row r="76" customFormat="false" ht="15" hidden="false" customHeight="false" outlineLevel="0" collapsed="false">
      <c r="A76" s="7" t="n">
        <v>43769</v>
      </c>
      <c r="B76" s="8" t="n">
        <f aca="false">YEAR(A76)</f>
        <v>2019</v>
      </c>
      <c r="C76" s="8" t="n">
        <f aca="false">MONTH(A76)</f>
        <v>10</v>
      </c>
      <c r="D76" s="8" t="s">
        <v>36</v>
      </c>
      <c r="E76" s="9" t="n">
        <v>11890.4</v>
      </c>
      <c r="F76" s="10" t="n">
        <v>16.66</v>
      </c>
      <c r="G76" s="11" t="n">
        <v>74.5</v>
      </c>
      <c r="H76" s="4" t="n">
        <v>889</v>
      </c>
      <c r="I76" s="8" t="n">
        <v>1</v>
      </c>
      <c r="J76" s="11" t="n">
        <v>72.9</v>
      </c>
      <c r="K76" s="4" t="n">
        <v>447</v>
      </c>
      <c r="L76" s="8" t="n">
        <v>1</v>
      </c>
      <c r="M76" s="11" t="n">
        <v>70.1</v>
      </c>
      <c r="N76" s="4" t="n">
        <v>1449</v>
      </c>
      <c r="O76" s="8" t="n">
        <v>1</v>
      </c>
      <c r="P76" s="4" t="n">
        <f aca="false">H76+K76+N76</f>
        <v>2785</v>
      </c>
      <c r="Q76" s="4" t="n">
        <f aca="false">Q75+P76</f>
        <v>96192</v>
      </c>
      <c r="R76" s="4" t="n">
        <f aca="false">Q76-MAX(0,MAX($Q$2:Q76))</f>
        <v>0</v>
      </c>
    </row>
    <row r="77" customFormat="false" ht="15" hidden="false" customHeight="false" outlineLevel="0" collapsed="false">
      <c r="A77" s="7" t="n">
        <v>43776</v>
      </c>
      <c r="B77" s="8" t="n">
        <f aca="false">YEAR(A77)</f>
        <v>2019</v>
      </c>
      <c r="C77" s="8" t="n">
        <f aca="false">MONTH(A77)</f>
        <v>11</v>
      </c>
      <c r="D77" s="8" t="s">
        <v>36</v>
      </c>
      <c r="E77" s="9" t="n">
        <v>12021.1</v>
      </c>
      <c r="F77" s="10" t="n">
        <v>15.78</v>
      </c>
      <c r="G77" s="11" t="n">
        <v>73.3</v>
      </c>
      <c r="H77" s="4" t="n">
        <v>1184</v>
      </c>
      <c r="I77" s="8" t="n">
        <v>1</v>
      </c>
      <c r="J77" s="11" t="n">
        <v>72.2</v>
      </c>
      <c r="K77" s="4" t="n">
        <v>1191</v>
      </c>
      <c r="L77" s="8" t="n">
        <v>1</v>
      </c>
      <c r="M77" s="11" t="n">
        <v>67.4</v>
      </c>
      <c r="N77" s="4" t="n">
        <v>297</v>
      </c>
      <c r="O77" s="8" t="n">
        <v>1</v>
      </c>
      <c r="P77" s="4" t="n">
        <f aca="false">H77+K77+N77</f>
        <v>2672</v>
      </c>
      <c r="Q77" s="4" t="n">
        <f aca="false">Q76+P77</f>
        <v>98864</v>
      </c>
      <c r="R77" s="4" t="n">
        <f aca="false">Q77-MAX(0,MAX($Q$2:Q77))</f>
        <v>0</v>
      </c>
    </row>
    <row r="78" customFormat="false" ht="15" hidden="false" customHeight="false" outlineLevel="0" collapsed="false">
      <c r="A78" s="7" t="n">
        <v>43783</v>
      </c>
      <c r="B78" s="8" t="n">
        <f aca="false">YEAR(A78)</f>
        <v>2019</v>
      </c>
      <c r="C78" s="8" t="n">
        <f aca="false">MONTH(A78)</f>
        <v>11</v>
      </c>
      <c r="D78" s="8" t="s">
        <v>36</v>
      </c>
      <c r="E78" s="9" t="n">
        <v>11858.8</v>
      </c>
      <c r="F78" s="10" t="n">
        <v>16.46</v>
      </c>
      <c r="G78" s="11" t="n">
        <v>71.6</v>
      </c>
      <c r="H78" s="4" t="n">
        <v>-1690</v>
      </c>
      <c r="I78" s="8" t="n">
        <v>2</v>
      </c>
      <c r="J78" s="11" t="n">
        <v>70.9</v>
      </c>
      <c r="K78" s="4" t="n">
        <v>-1676</v>
      </c>
      <c r="L78" s="8" t="n">
        <v>2</v>
      </c>
      <c r="M78" s="11" t="n">
        <v>68.5</v>
      </c>
      <c r="N78" s="4" t="n">
        <v>357</v>
      </c>
      <c r="O78" s="8" t="n">
        <v>1</v>
      </c>
      <c r="P78" s="4" t="n">
        <f aca="false">H78+K78+N78</f>
        <v>-3009</v>
      </c>
      <c r="Q78" s="4" t="n">
        <f aca="false">Q77+P78</f>
        <v>95855</v>
      </c>
      <c r="R78" s="4" t="n">
        <f aca="false">Q78-MAX(0,MAX($Q$2:Q78))</f>
        <v>-3009</v>
      </c>
    </row>
    <row r="79" customFormat="false" ht="15" hidden="false" customHeight="false" outlineLevel="0" collapsed="false">
      <c r="A79" s="7" t="n">
        <v>43790</v>
      </c>
      <c r="B79" s="8" t="n">
        <f aca="false">YEAR(A79)</f>
        <v>2019</v>
      </c>
      <c r="C79" s="8" t="n">
        <f aca="false">MONTH(A79)</f>
        <v>11</v>
      </c>
      <c r="D79" s="8" t="s">
        <v>36</v>
      </c>
      <c r="E79" s="9" t="n">
        <v>12025.6</v>
      </c>
      <c r="F79" s="10" t="n">
        <v>15.16</v>
      </c>
      <c r="G79" s="11" t="n">
        <v>65.5</v>
      </c>
      <c r="H79" s="4" t="n">
        <v>-179</v>
      </c>
      <c r="I79" s="8" t="n">
        <v>1</v>
      </c>
      <c r="J79" s="11" t="n">
        <v>64.3</v>
      </c>
      <c r="K79" s="4" t="n">
        <v>-254</v>
      </c>
      <c r="L79" s="8" t="n">
        <v>1</v>
      </c>
      <c r="M79" s="11" t="n">
        <v>61.1</v>
      </c>
      <c r="N79" s="4" t="n">
        <v>907</v>
      </c>
      <c r="O79" s="8" t="n">
        <v>1</v>
      </c>
      <c r="P79" s="4" t="n">
        <f aca="false">H79+K79+N79</f>
        <v>474</v>
      </c>
      <c r="Q79" s="4" t="n">
        <f aca="false">Q78+P79</f>
        <v>96329</v>
      </c>
      <c r="R79" s="4" t="n">
        <f aca="false">Q79-MAX(0,MAX($Q$2:Q79))</f>
        <v>-2535</v>
      </c>
    </row>
    <row r="80" customFormat="false" ht="15" hidden="false" customHeight="false" outlineLevel="0" collapsed="false">
      <c r="A80" s="7" t="n">
        <v>43797</v>
      </c>
      <c r="B80" s="8" t="n">
        <f aca="false">YEAR(A80)</f>
        <v>2019</v>
      </c>
      <c r="C80" s="8" t="n">
        <f aca="false">MONTH(A80)</f>
        <v>11</v>
      </c>
      <c r="D80" s="8" t="s">
        <v>36</v>
      </c>
      <c r="E80" s="9" t="n">
        <v>12132.1</v>
      </c>
      <c r="F80" s="10" t="n">
        <v>14.62</v>
      </c>
      <c r="G80" s="11" t="n">
        <v>62.1</v>
      </c>
      <c r="H80" s="4" t="n">
        <v>402</v>
      </c>
      <c r="I80" s="8" t="n">
        <v>1</v>
      </c>
      <c r="J80" s="11" t="n">
        <v>61.1</v>
      </c>
      <c r="K80" s="4" t="n">
        <v>368</v>
      </c>
      <c r="L80" s="8" t="n">
        <v>1</v>
      </c>
      <c r="M80" s="11" t="n">
        <v>60.6</v>
      </c>
      <c r="N80" s="4" t="n">
        <v>4</v>
      </c>
      <c r="O80" s="8" t="n">
        <v>1</v>
      </c>
      <c r="P80" s="4" t="n">
        <f aca="false">H80+K80+N80</f>
        <v>774</v>
      </c>
      <c r="Q80" s="4" t="n">
        <f aca="false">Q79+P80</f>
        <v>97103</v>
      </c>
      <c r="R80" s="4" t="n">
        <f aca="false">Q80-MAX(0,MAX($Q$2:Q80))</f>
        <v>-1761</v>
      </c>
    </row>
    <row r="81" customFormat="false" ht="15" hidden="false" customHeight="false" outlineLevel="0" collapsed="false">
      <c r="A81" s="7" t="n">
        <v>43804</v>
      </c>
      <c r="B81" s="8" t="n">
        <f aca="false">YEAR(A81)</f>
        <v>2019</v>
      </c>
      <c r="C81" s="8" t="n">
        <f aca="false">MONTH(A81)</f>
        <v>12</v>
      </c>
      <c r="D81" s="8" t="s">
        <v>36</v>
      </c>
      <c r="E81" s="9" t="n">
        <v>12071.2</v>
      </c>
      <c r="F81" s="10" t="n">
        <v>13.32</v>
      </c>
      <c r="G81" s="11" t="n">
        <v>59.7</v>
      </c>
      <c r="H81" s="4" t="n">
        <v>1866</v>
      </c>
      <c r="I81" s="8" t="n">
        <v>1</v>
      </c>
      <c r="J81" s="11" t="n">
        <v>56.7</v>
      </c>
      <c r="K81" s="4" t="n">
        <v>-1386</v>
      </c>
      <c r="L81" s="8" t="n">
        <v>2</v>
      </c>
      <c r="M81" s="11" t="n">
        <v>56.4</v>
      </c>
      <c r="N81" s="4" t="n">
        <v>1812</v>
      </c>
      <c r="O81" s="8" t="n">
        <v>1</v>
      </c>
      <c r="P81" s="4" t="n">
        <f aca="false">H81+K81+N81</f>
        <v>2292</v>
      </c>
      <c r="Q81" s="4" t="n">
        <f aca="false">Q80+P81</f>
        <v>99395</v>
      </c>
      <c r="R81" s="4" t="n">
        <f aca="false">Q81-MAX(0,MAX($Q$2:Q81))</f>
        <v>0</v>
      </c>
    </row>
    <row r="82" customFormat="false" ht="15" hidden="false" customHeight="false" outlineLevel="0" collapsed="false">
      <c r="A82" s="7" t="n">
        <v>43811</v>
      </c>
      <c r="B82" s="8" t="n">
        <f aca="false">YEAR(A82)</f>
        <v>2019</v>
      </c>
      <c r="C82" s="8" t="n">
        <f aca="false">MONTH(A82)</f>
        <v>12</v>
      </c>
      <c r="D82" s="8" t="s">
        <v>36</v>
      </c>
      <c r="E82" s="9" t="n">
        <v>11944.3</v>
      </c>
      <c r="F82" s="10" t="n">
        <v>13.38</v>
      </c>
      <c r="G82" s="11" t="n">
        <v>50</v>
      </c>
      <c r="H82" s="4" t="n">
        <v>1356</v>
      </c>
      <c r="I82" s="8" t="n">
        <v>1</v>
      </c>
      <c r="J82" s="11" t="n">
        <v>49</v>
      </c>
      <c r="K82" s="4" t="n">
        <v>454</v>
      </c>
      <c r="L82" s="8" t="n">
        <v>1</v>
      </c>
      <c r="M82" s="11" t="n">
        <v>46.8</v>
      </c>
      <c r="N82" s="4" t="n">
        <v>-1183</v>
      </c>
      <c r="O82" s="8" t="n">
        <v>2</v>
      </c>
      <c r="P82" s="4" t="n">
        <f aca="false">H82+K82+N82</f>
        <v>627</v>
      </c>
      <c r="Q82" s="4" t="n">
        <f aca="false">Q81+P82</f>
        <v>100022</v>
      </c>
      <c r="R82" s="4" t="n">
        <f aca="false">Q82-MAX(0,MAX($Q$2:Q82))</f>
        <v>0</v>
      </c>
    </row>
    <row r="83" customFormat="false" ht="15" hidden="false" customHeight="false" outlineLevel="0" collapsed="false">
      <c r="A83" s="7" t="n">
        <v>43818</v>
      </c>
      <c r="B83" s="8" t="n">
        <f aca="false">YEAR(A83)</f>
        <v>2019</v>
      </c>
      <c r="C83" s="8" t="n">
        <f aca="false">MONTH(A83)</f>
        <v>12</v>
      </c>
      <c r="D83" s="8" t="s">
        <v>36</v>
      </c>
      <c r="E83" s="9" t="n">
        <v>12223.4</v>
      </c>
      <c r="F83" s="10" t="n">
        <v>12.34</v>
      </c>
      <c r="G83" s="11" t="n">
        <v>60.6</v>
      </c>
      <c r="H83" s="4" t="n">
        <v>-1466</v>
      </c>
      <c r="I83" s="8" t="n">
        <v>2</v>
      </c>
      <c r="J83" s="11" t="n">
        <v>58.5</v>
      </c>
      <c r="K83" s="4" t="n">
        <v>887</v>
      </c>
      <c r="L83" s="8" t="n">
        <v>1</v>
      </c>
      <c r="M83" s="11" t="n">
        <v>56.3</v>
      </c>
      <c r="N83" s="4" t="n">
        <v>661</v>
      </c>
      <c r="O83" s="8" t="n">
        <v>1</v>
      </c>
      <c r="P83" s="4" t="n">
        <f aca="false">H83+K83+N83</f>
        <v>82</v>
      </c>
      <c r="Q83" s="4" t="n">
        <f aca="false">Q82+P83</f>
        <v>100104</v>
      </c>
      <c r="R83" s="4" t="n">
        <f aca="false">Q83-MAX(0,MAX($Q$2:Q83))</f>
        <v>0</v>
      </c>
    </row>
    <row r="84" customFormat="false" ht="15" hidden="false" customHeight="false" outlineLevel="0" collapsed="false">
      <c r="A84" s="7" t="n">
        <v>43825</v>
      </c>
      <c r="B84" s="8" t="n">
        <f aca="false">YEAR(A84)</f>
        <v>2019</v>
      </c>
      <c r="C84" s="8" t="n">
        <f aca="false">MONTH(A84)</f>
        <v>12</v>
      </c>
      <c r="D84" s="8" t="s">
        <v>36</v>
      </c>
      <c r="E84" s="9" t="n">
        <v>12211.8</v>
      </c>
      <c r="F84" s="10" t="n">
        <v>11.63</v>
      </c>
      <c r="G84" s="11" t="n">
        <v>52.8</v>
      </c>
      <c r="H84" s="4" t="n">
        <v>1481</v>
      </c>
      <c r="I84" s="8" t="n">
        <v>1</v>
      </c>
      <c r="J84" s="11" t="n">
        <v>53</v>
      </c>
      <c r="K84" s="4" t="n">
        <v>1730</v>
      </c>
      <c r="L84" s="8" t="n">
        <v>1</v>
      </c>
      <c r="M84" s="11" t="n">
        <v>49.7</v>
      </c>
      <c r="N84" s="4" t="n">
        <v>1391</v>
      </c>
      <c r="O84" s="8" t="n">
        <v>1</v>
      </c>
      <c r="P84" s="4" t="n">
        <f aca="false">H84+K84+N84</f>
        <v>4602</v>
      </c>
      <c r="Q84" s="4" t="n">
        <f aca="false">Q83+P84</f>
        <v>104706</v>
      </c>
      <c r="R84" s="4" t="n">
        <f aca="false">Q84-MAX(0,MAX($Q$2:Q84))</f>
        <v>0</v>
      </c>
    </row>
    <row r="85" customFormat="false" ht="15" hidden="false" customHeight="false" outlineLevel="0" collapsed="false">
      <c r="A85" s="7" t="n">
        <v>43832</v>
      </c>
      <c r="B85" s="8" t="n">
        <f aca="false">YEAR(A85)</f>
        <v>2020</v>
      </c>
      <c r="C85" s="8" t="n">
        <f aca="false">MONTH(A85)</f>
        <v>1</v>
      </c>
      <c r="D85" s="8" t="s">
        <v>36</v>
      </c>
      <c r="E85" s="9" t="n">
        <v>12198.6</v>
      </c>
      <c r="F85" s="10" t="n">
        <v>11.67</v>
      </c>
      <c r="G85" s="11" t="n">
        <v>51.1</v>
      </c>
      <c r="H85" s="4" t="n">
        <v>-1270</v>
      </c>
      <c r="I85" s="8" t="n">
        <v>2</v>
      </c>
      <c r="J85" s="11" t="n">
        <v>51.3</v>
      </c>
      <c r="K85" s="4" t="n">
        <v>-1275</v>
      </c>
      <c r="L85" s="8" t="n">
        <v>2</v>
      </c>
      <c r="M85" s="11" t="n">
        <v>47.7</v>
      </c>
      <c r="N85" s="4" t="n">
        <v>-39</v>
      </c>
      <c r="O85" s="8" t="n">
        <v>1</v>
      </c>
      <c r="P85" s="4" t="n">
        <f aca="false">H85+K85+N85</f>
        <v>-2584</v>
      </c>
      <c r="Q85" s="4" t="n">
        <f aca="false">Q84+P85</f>
        <v>102122</v>
      </c>
      <c r="R85" s="4" t="n">
        <f aca="false">Q85-MAX(0,MAX($Q$2:Q85))</f>
        <v>-2584</v>
      </c>
    </row>
    <row r="86" customFormat="false" ht="15" hidden="false" customHeight="false" outlineLevel="0" collapsed="false">
      <c r="A86" s="7" t="n">
        <v>43839</v>
      </c>
      <c r="B86" s="8" t="n">
        <f aca="false">YEAR(A86)</f>
        <v>2020</v>
      </c>
      <c r="C86" s="8" t="n">
        <f aca="false">MONTH(A86)</f>
        <v>1</v>
      </c>
      <c r="D86" s="8" t="s">
        <v>36</v>
      </c>
      <c r="E86" s="9" t="n">
        <v>12153.2</v>
      </c>
      <c r="F86" s="10" t="n">
        <v>15.64</v>
      </c>
      <c r="G86" s="11" t="n">
        <v>85.3</v>
      </c>
      <c r="H86" s="4" t="n">
        <v>-1971</v>
      </c>
      <c r="I86" s="8" t="n">
        <v>2</v>
      </c>
      <c r="J86" s="11" t="n">
        <v>82.6</v>
      </c>
      <c r="K86" s="4" t="n">
        <v>1457</v>
      </c>
      <c r="L86" s="8" t="n">
        <v>1</v>
      </c>
      <c r="M86" s="11" t="n">
        <v>78.9</v>
      </c>
      <c r="N86" s="4" t="n">
        <v>1593</v>
      </c>
      <c r="O86" s="8" t="n">
        <v>1</v>
      </c>
      <c r="P86" s="4" t="n">
        <f aca="false">H86+K86+N86</f>
        <v>1079</v>
      </c>
      <c r="Q86" s="4" t="n">
        <f aca="false">Q85+P86</f>
        <v>103201</v>
      </c>
      <c r="R86" s="4" t="n">
        <f aca="false">Q86-MAX(0,MAX($Q$2:Q86))</f>
        <v>-1505</v>
      </c>
    </row>
    <row r="87" customFormat="false" ht="15" hidden="false" customHeight="false" outlineLevel="0" collapsed="false">
      <c r="A87" s="7" t="n">
        <v>43846</v>
      </c>
      <c r="B87" s="8" t="n">
        <f aca="false">YEAR(A87)</f>
        <v>2020</v>
      </c>
      <c r="C87" s="8" t="n">
        <f aca="false">MONTH(A87)</f>
        <v>1</v>
      </c>
      <c r="D87" s="8" t="s">
        <v>36</v>
      </c>
      <c r="E87" s="9" t="n">
        <v>12347.1</v>
      </c>
      <c r="F87" s="10" t="n">
        <v>14.12</v>
      </c>
      <c r="G87" s="11" t="n">
        <v>50.5</v>
      </c>
      <c r="H87" s="4" t="n">
        <v>-1258</v>
      </c>
      <c r="I87" s="8" t="n">
        <v>2</v>
      </c>
      <c r="J87" s="11" t="n">
        <v>50</v>
      </c>
      <c r="K87" s="4" t="n">
        <v>-1248</v>
      </c>
      <c r="L87" s="8" t="n">
        <v>2</v>
      </c>
      <c r="M87" s="11" t="n">
        <v>45.7</v>
      </c>
      <c r="N87" s="4" t="n">
        <v>86</v>
      </c>
      <c r="O87" s="8" t="n">
        <v>1</v>
      </c>
      <c r="P87" s="4" t="n">
        <f aca="false">H87+K87+N87</f>
        <v>-2420</v>
      </c>
      <c r="Q87" s="4" t="n">
        <f aca="false">Q86+P87</f>
        <v>100781</v>
      </c>
      <c r="R87" s="4" t="n">
        <f aca="false">Q87-MAX(0,MAX($Q$2:Q87))</f>
        <v>-3925</v>
      </c>
    </row>
    <row r="88" customFormat="false" ht="15" hidden="false" customHeight="false" outlineLevel="0" collapsed="false">
      <c r="A88" s="7" t="n">
        <v>43853</v>
      </c>
      <c r="B88" s="8" t="n">
        <f aca="false">YEAR(A88)</f>
        <v>2020</v>
      </c>
      <c r="C88" s="8" t="n">
        <f aca="false">MONTH(A88)</f>
        <v>1</v>
      </c>
      <c r="D88" s="8" t="s">
        <v>36</v>
      </c>
      <c r="E88" s="9" t="n">
        <v>12123.8</v>
      </c>
      <c r="F88" s="10" t="n">
        <v>16.36</v>
      </c>
      <c r="G88" s="11" t="n">
        <v>25.4</v>
      </c>
      <c r="H88" s="4" t="n">
        <v>-745</v>
      </c>
      <c r="I88" s="8" t="n">
        <v>2</v>
      </c>
      <c r="J88" s="11" t="n">
        <v>19.9</v>
      </c>
      <c r="K88" s="4" t="n">
        <v>-633</v>
      </c>
      <c r="L88" s="8" t="n">
        <v>2</v>
      </c>
      <c r="M88" s="11" t="n">
        <v>23</v>
      </c>
      <c r="N88" s="4" t="n">
        <v>-696</v>
      </c>
      <c r="O88" s="8" t="n">
        <v>2</v>
      </c>
      <c r="P88" s="4" t="n">
        <f aca="false">H88+K88+N88</f>
        <v>-2074</v>
      </c>
      <c r="Q88" s="4" t="n">
        <f aca="false">Q87+P88</f>
        <v>98707</v>
      </c>
      <c r="R88" s="4" t="n">
        <f aca="false">Q88-MAX(0,MAX($Q$2:Q88))</f>
        <v>-5999</v>
      </c>
    </row>
    <row r="89" customFormat="false" ht="15" hidden="false" customHeight="false" outlineLevel="0" collapsed="false">
      <c r="A89" s="7" t="n">
        <v>43860</v>
      </c>
      <c r="B89" s="8" t="n">
        <f aca="false">YEAR(A89)</f>
        <v>2020</v>
      </c>
      <c r="C89" s="8" t="n">
        <f aca="false">MONTH(A89)</f>
        <v>1</v>
      </c>
      <c r="D89" s="8" t="s">
        <v>36</v>
      </c>
      <c r="E89" s="9" t="n">
        <v>12147.8</v>
      </c>
      <c r="F89" s="10" t="n">
        <v>16.5</v>
      </c>
      <c r="G89" s="11" t="n">
        <v>64.5</v>
      </c>
      <c r="H89" s="4" t="n">
        <v>558</v>
      </c>
      <c r="I89" s="8" t="n">
        <v>1</v>
      </c>
      <c r="J89" s="11" t="n">
        <v>64.3</v>
      </c>
      <c r="K89" s="4" t="n">
        <v>336</v>
      </c>
      <c r="L89" s="8" t="n">
        <v>1</v>
      </c>
      <c r="M89" s="11" t="n">
        <v>63.2</v>
      </c>
      <c r="N89" s="4" t="n">
        <v>2220</v>
      </c>
      <c r="O89" s="8" t="n">
        <v>1</v>
      </c>
      <c r="P89" s="4" t="n">
        <f aca="false">H89+K89+N89</f>
        <v>3114</v>
      </c>
      <c r="Q89" s="4" t="n">
        <f aca="false">Q88+P89</f>
        <v>101821</v>
      </c>
      <c r="R89" s="4" t="n">
        <f aca="false">Q89-MAX(0,MAX($Q$2:Q89))</f>
        <v>-2885</v>
      </c>
    </row>
    <row r="90" customFormat="false" ht="15" hidden="false" customHeight="false" outlineLevel="0" collapsed="false">
      <c r="A90" s="7" t="n">
        <v>43867</v>
      </c>
      <c r="B90" s="8" t="n">
        <f aca="false">YEAR(A90)</f>
        <v>2020</v>
      </c>
      <c r="C90" s="8" t="n">
        <f aca="false">MONTH(A90)</f>
        <v>2</v>
      </c>
      <c r="D90" s="8" t="s">
        <v>36</v>
      </c>
      <c r="E90" s="9" t="n">
        <v>12120</v>
      </c>
      <c r="F90" s="10" t="n">
        <v>14.17</v>
      </c>
      <c r="G90" s="11" t="n">
        <v>79.2</v>
      </c>
      <c r="H90" s="4" t="n">
        <v>840</v>
      </c>
      <c r="I90" s="8" t="n">
        <v>1</v>
      </c>
      <c r="J90" s="11" t="n">
        <v>78.9</v>
      </c>
      <c r="K90" s="4" t="n">
        <v>-1840</v>
      </c>
      <c r="L90" s="8" t="n">
        <v>2</v>
      </c>
      <c r="M90" s="11" t="n">
        <v>75.4</v>
      </c>
      <c r="N90" s="4" t="n">
        <v>-1767</v>
      </c>
      <c r="O90" s="8" t="n">
        <v>2</v>
      </c>
      <c r="P90" s="4" t="n">
        <f aca="false">H90+K90+N90</f>
        <v>-2767</v>
      </c>
      <c r="Q90" s="4" t="n">
        <f aca="false">Q89+P90</f>
        <v>99054</v>
      </c>
      <c r="R90" s="4" t="n">
        <f aca="false">Q90-MAX(0,MAX($Q$2:Q90))</f>
        <v>-5652</v>
      </c>
    </row>
    <row r="91" customFormat="false" ht="15" hidden="false" customHeight="false" outlineLevel="0" collapsed="false">
      <c r="A91" s="7" t="n">
        <v>43874</v>
      </c>
      <c r="B91" s="8" t="n">
        <f aca="false">YEAR(A91)</f>
        <v>2020</v>
      </c>
      <c r="C91" s="8" t="n">
        <f aca="false">MONTH(A91)</f>
        <v>2</v>
      </c>
      <c r="D91" s="8" t="s">
        <v>36</v>
      </c>
      <c r="E91" s="9" t="n">
        <v>12219.6</v>
      </c>
      <c r="F91" s="10" t="n">
        <v>13.62</v>
      </c>
      <c r="G91" s="11" t="n">
        <v>46.3</v>
      </c>
      <c r="H91" s="4" t="n">
        <v>158</v>
      </c>
      <c r="I91" s="8" t="n">
        <v>1</v>
      </c>
      <c r="J91" s="11" t="n">
        <v>45</v>
      </c>
      <c r="K91" s="4" t="n">
        <v>234</v>
      </c>
      <c r="L91" s="8" t="n">
        <v>1</v>
      </c>
      <c r="M91" s="11" t="n">
        <v>44.4</v>
      </c>
      <c r="N91" s="4" t="n">
        <v>-59</v>
      </c>
      <c r="O91" s="8" t="n">
        <v>1</v>
      </c>
      <c r="P91" s="4" t="n">
        <f aca="false">H91+K91+N91</f>
        <v>333</v>
      </c>
      <c r="Q91" s="4" t="n">
        <f aca="false">Q90+P91</f>
        <v>99387</v>
      </c>
      <c r="R91" s="4" t="n">
        <f aca="false">Q91-MAX(0,MAX($Q$2:Q91))</f>
        <v>-5319</v>
      </c>
    </row>
    <row r="92" customFormat="false" ht="15" hidden="false" customHeight="false" outlineLevel="0" collapsed="false">
      <c r="A92" s="7" t="n">
        <v>43881</v>
      </c>
      <c r="B92" s="8" t="n">
        <f aca="false">YEAR(A92)</f>
        <v>2020</v>
      </c>
      <c r="C92" s="8" t="n">
        <f aca="false">MONTH(A92)</f>
        <v>2</v>
      </c>
      <c r="D92" s="8" t="s">
        <v>36</v>
      </c>
      <c r="E92" s="9" t="n">
        <v>12119</v>
      </c>
      <c r="F92" s="10" t="n">
        <v>14.02</v>
      </c>
      <c r="G92" s="11" t="n">
        <v>49.3</v>
      </c>
      <c r="H92" s="4" t="n">
        <v>-1234</v>
      </c>
      <c r="I92" s="8" t="n">
        <v>2</v>
      </c>
      <c r="J92" s="11" t="n">
        <v>51.2</v>
      </c>
      <c r="K92" s="4" t="n">
        <v>-1273</v>
      </c>
      <c r="L92" s="8" t="n">
        <v>2</v>
      </c>
      <c r="M92" s="11" t="n">
        <v>46.9</v>
      </c>
      <c r="N92" s="4" t="n">
        <v>-1185</v>
      </c>
      <c r="O92" s="8" t="n">
        <v>2</v>
      </c>
      <c r="P92" s="4" t="n">
        <f aca="false">H92+K92+N92</f>
        <v>-3692</v>
      </c>
      <c r="Q92" s="4" t="n">
        <f aca="false">Q91+P92</f>
        <v>95695</v>
      </c>
      <c r="R92" s="4" t="n">
        <f aca="false">Q92-MAX(0,MAX($Q$2:Q92))</f>
        <v>-9011</v>
      </c>
    </row>
    <row r="93" customFormat="false" ht="15" hidden="false" customHeight="false" outlineLevel="0" collapsed="false">
      <c r="A93" s="7" t="n">
        <v>43888</v>
      </c>
      <c r="B93" s="8" t="n">
        <f aca="false">YEAR(A93)</f>
        <v>2020</v>
      </c>
      <c r="C93" s="8" t="n">
        <f aca="false">MONTH(A93)</f>
        <v>2</v>
      </c>
      <c r="D93" s="8" t="s">
        <v>36</v>
      </c>
      <c r="E93" s="9" t="n">
        <v>11661.2</v>
      </c>
      <c r="F93" s="10" t="n">
        <v>18.26</v>
      </c>
      <c r="G93" s="11" t="n">
        <v>84.6</v>
      </c>
      <c r="H93" s="4" t="n">
        <v>447</v>
      </c>
      <c r="I93" s="8" t="n">
        <v>1</v>
      </c>
      <c r="J93" s="11" t="n">
        <v>81.6</v>
      </c>
      <c r="K93" s="4" t="n">
        <v>-519</v>
      </c>
      <c r="L93" s="8" t="n">
        <v>1</v>
      </c>
      <c r="M93" s="11" t="n">
        <v>80</v>
      </c>
      <c r="N93" s="4" t="n">
        <v>-1862</v>
      </c>
      <c r="O93" s="8" t="n">
        <v>2</v>
      </c>
      <c r="P93" s="4" t="n">
        <f aca="false">H93+K93+N93</f>
        <v>-1934</v>
      </c>
      <c r="Q93" s="4" t="n">
        <f aca="false">Q92+P93</f>
        <v>93761</v>
      </c>
      <c r="R93" s="4" t="n">
        <f aca="false">Q93-MAX(0,MAX($Q$2:Q93))</f>
        <v>-10945</v>
      </c>
    </row>
    <row r="94" customFormat="false" ht="15" hidden="false" customHeight="false" outlineLevel="0" collapsed="false">
      <c r="A94" s="7" t="n">
        <v>43895</v>
      </c>
      <c r="B94" s="8" t="n">
        <f aca="false">YEAR(A94)</f>
        <v>2020</v>
      </c>
      <c r="C94" s="8" t="n">
        <f aca="false">MONTH(A94)</f>
        <v>3</v>
      </c>
      <c r="D94" s="8" t="s">
        <v>36</v>
      </c>
      <c r="E94" s="9" t="n">
        <v>11306</v>
      </c>
      <c r="F94" s="10" t="n">
        <v>24.23</v>
      </c>
      <c r="G94" s="11" t="n">
        <v>101</v>
      </c>
      <c r="H94" s="4" t="n">
        <v>-2292</v>
      </c>
      <c r="I94" s="8" t="n">
        <v>2</v>
      </c>
      <c r="J94" s="11" t="n">
        <v>98.7</v>
      </c>
      <c r="K94" s="4" t="n">
        <v>-2245</v>
      </c>
      <c r="L94" s="8" t="n">
        <v>2</v>
      </c>
      <c r="M94" s="11" t="n">
        <v>94.7</v>
      </c>
      <c r="N94" s="4" t="n">
        <v>854</v>
      </c>
      <c r="O94" s="8" t="n">
        <v>1</v>
      </c>
      <c r="P94" s="4" t="n">
        <f aca="false">H94+K94+N94</f>
        <v>-3683</v>
      </c>
      <c r="Q94" s="4" t="n">
        <f aca="false">Q93+P94</f>
        <v>90078</v>
      </c>
      <c r="R94" s="4" t="n">
        <f aca="false">Q94-MAX(0,MAX($Q$2:Q94))</f>
        <v>-14628</v>
      </c>
    </row>
    <row r="95" customFormat="false" ht="15" hidden="false" customHeight="false" outlineLevel="0" collapsed="false">
      <c r="A95" s="7" t="n">
        <v>43902</v>
      </c>
      <c r="B95" s="8" t="n">
        <f aca="false">YEAR(A95)</f>
        <v>2020</v>
      </c>
      <c r="C95" s="8" t="n">
        <f aca="false">MONTH(A95)</f>
        <v>3</v>
      </c>
      <c r="D95" s="8" t="s">
        <v>36</v>
      </c>
      <c r="E95" s="9" t="n">
        <v>10040</v>
      </c>
      <c r="F95" s="10" t="n">
        <v>31.56</v>
      </c>
      <c r="G95" s="11" t="n">
        <v>151.6</v>
      </c>
      <c r="H95" s="4" t="n">
        <v>3733</v>
      </c>
      <c r="I95" s="8" t="n">
        <v>1</v>
      </c>
      <c r="J95" s="11" t="n">
        <v>149.2</v>
      </c>
      <c r="K95" s="4" t="n">
        <v>3837</v>
      </c>
      <c r="L95" s="8" t="n">
        <v>1</v>
      </c>
      <c r="M95" s="11" t="n">
        <v>141.4</v>
      </c>
      <c r="N95" s="4" t="n">
        <v>2524</v>
      </c>
      <c r="O95" s="8" t="n">
        <v>1</v>
      </c>
      <c r="P95" s="4" t="n">
        <f aca="false">H95+K95+N95</f>
        <v>10094</v>
      </c>
      <c r="Q95" s="4" t="n">
        <f aca="false">Q94+P95</f>
        <v>100172</v>
      </c>
      <c r="R95" s="4" t="n">
        <f aca="false">Q95-MAX(0,MAX($Q$2:Q95))</f>
        <v>-4534</v>
      </c>
    </row>
    <row r="96" customFormat="false" ht="15" hidden="false" customHeight="false" outlineLevel="0" collapsed="false">
      <c r="A96" s="7" t="n">
        <v>43909</v>
      </c>
      <c r="B96" s="8" t="n">
        <f aca="false">YEAR(A96)</f>
        <v>2020</v>
      </c>
      <c r="C96" s="8" t="n">
        <f aca="false">MONTH(A96)</f>
        <v>3</v>
      </c>
      <c r="D96" s="8" t="s">
        <v>36</v>
      </c>
      <c r="E96" s="9" t="n">
        <v>8063.3</v>
      </c>
      <c r="F96" s="10" t="n">
        <v>63.96</v>
      </c>
      <c r="G96" s="11" t="n">
        <v>247.2</v>
      </c>
      <c r="H96" s="4" t="n">
        <v>-5284</v>
      </c>
      <c r="I96" s="8" t="n">
        <v>2</v>
      </c>
      <c r="J96" s="11" t="n">
        <v>242.8</v>
      </c>
      <c r="K96" s="4" t="n">
        <v>5416</v>
      </c>
      <c r="L96" s="8" t="n">
        <v>1</v>
      </c>
      <c r="M96" s="11" t="n">
        <v>232.5</v>
      </c>
      <c r="N96" s="4" t="n">
        <v>4659</v>
      </c>
      <c r="O96" s="8" t="n">
        <v>1</v>
      </c>
      <c r="P96" s="4" t="n">
        <f aca="false">H96+K96+N96</f>
        <v>4791</v>
      </c>
      <c r="Q96" s="4" t="n">
        <f aca="false">Q95+P96</f>
        <v>104963</v>
      </c>
      <c r="R96" s="4" t="n">
        <f aca="false">Q96-MAX(0,MAX($Q$2:Q96))</f>
        <v>0</v>
      </c>
    </row>
    <row r="97" customFormat="false" ht="15" hidden="false" customHeight="false" outlineLevel="0" collapsed="false">
      <c r="A97" s="7" t="n">
        <v>43916</v>
      </c>
      <c r="B97" s="8" t="n">
        <f aca="false">YEAR(A97)</f>
        <v>2020</v>
      </c>
      <c r="C97" s="8" t="n">
        <f aca="false">MONTH(A97)</f>
        <v>3</v>
      </c>
      <c r="D97" s="8" t="s">
        <v>36</v>
      </c>
      <c r="E97" s="9" t="n">
        <v>8451</v>
      </c>
      <c r="F97" s="10" t="n">
        <v>77.63</v>
      </c>
      <c r="G97" s="11" t="n">
        <v>334.1</v>
      </c>
      <c r="H97" s="4" t="n">
        <v>6710</v>
      </c>
      <c r="I97" s="8" t="n">
        <v>1</v>
      </c>
      <c r="J97" s="11" t="n">
        <v>333.6</v>
      </c>
      <c r="K97" s="4" t="n">
        <v>7136</v>
      </c>
      <c r="L97" s="8" t="n">
        <v>1</v>
      </c>
      <c r="M97" s="11" t="n">
        <v>324.9</v>
      </c>
      <c r="N97" s="4" t="n">
        <v>4597</v>
      </c>
      <c r="O97" s="8" t="n">
        <v>1</v>
      </c>
      <c r="P97" s="4" t="n">
        <f aca="false">H97+K97+N97</f>
        <v>18443</v>
      </c>
      <c r="Q97" s="4" t="n">
        <f aca="false">Q96+P97</f>
        <v>123406</v>
      </c>
      <c r="R97" s="4" t="n">
        <f aca="false">Q97-MAX(0,MAX($Q$2:Q97))</f>
        <v>0</v>
      </c>
    </row>
    <row r="98" customFormat="false" ht="15" hidden="false" customHeight="false" outlineLevel="0" collapsed="false">
      <c r="A98" s="7" t="n">
        <v>43922</v>
      </c>
      <c r="B98" s="8" t="n">
        <f aca="false">YEAR(A98)</f>
        <v>2020</v>
      </c>
      <c r="C98" s="8" t="n">
        <f aca="false">MONTH(A98)</f>
        <v>4</v>
      </c>
      <c r="D98" s="8" t="s">
        <v>37</v>
      </c>
      <c r="E98" s="9" t="n">
        <v>8584.1</v>
      </c>
      <c r="F98" s="10" t="n">
        <v>64.41</v>
      </c>
      <c r="G98" s="11" t="n">
        <v>213.8</v>
      </c>
      <c r="H98" s="4" t="n">
        <v>4095</v>
      </c>
      <c r="I98" s="8" t="n">
        <v>1</v>
      </c>
      <c r="J98" s="11" t="n">
        <v>208.7</v>
      </c>
      <c r="K98" s="4" t="n">
        <v>4177</v>
      </c>
      <c r="L98" s="8" t="n">
        <v>1</v>
      </c>
      <c r="M98" s="11" t="n">
        <v>198.6</v>
      </c>
      <c r="N98" s="4" t="n">
        <v>4244</v>
      </c>
      <c r="O98" s="8" t="n">
        <v>1</v>
      </c>
      <c r="P98" s="4" t="n">
        <f aca="false">H98+K98+N98</f>
        <v>12516</v>
      </c>
      <c r="Q98" s="4" t="n">
        <f aca="false">Q97+P98</f>
        <v>135922</v>
      </c>
      <c r="R98" s="4" t="n">
        <f aca="false">Q98-MAX(0,MAX($Q$2:Q98))</f>
        <v>0</v>
      </c>
    </row>
    <row r="99" customFormat="false" ht="15" hidden="false" customHeight="false" outlineLevel="0" collapsed="false">
      <c r="A99" s="7" t="n">
        <v>43930</v>
      </c>
      <c r="B99" s="8" t="n">
        <f aca="false">YEAR(A99)</f>
        <v>2020</v>
      </c>
      <c r="C99" s="8" t="n">
        <f aca="false">MONTH(A99)</f>
        <v>4</v>
      </c>
      <c r="D99" s="8" t="s">
        <v>36</v>
      </c>
      <c r="E99" s="9" t="n">
        <v>8973</v>
      </c>
      <c r="F99" s="10" t="n">
        <v>52.24</v>
      </c>
      <c r="G99" s="11" t="n">
        <v>193.4</v>
      </c>
      <c r="H99" s="4" t="n">
        <v>4851</v>
      </c>
      <c r="I99" s="8" t="n">
        <v>1</v>
      </c>
      <c r="J99" s="11" t="n">
        <v>189.8</v>
      </c>
      <c r="K99" s="4" t="n">
        <v>-4110</v>
      </c>
      <c r="L99" s="8" t="n">
        <v>2</v>
      </c>
      <c r="M99" s="11" t="n">
        <v>181.7</v>
      </c>
      <c r="N99" s="4" t="n">
        <v>-3943</v>
      </c>
      <c r="O99" s="8" t="n">
        <v>2</v>
      </c>
      <c r="P99" s="4" t="n">
        <f aca="false">H99+K99+N99</f>
        <v>-3202</v>
      </c>
      <c r="Q99" s="4" t="n">
        <f aca="false">Q98+P99</f>
        <v>132720</v>
      </c>
      <c r="R99" s="4" t="n">
        <f aca="false">Q99-MAX(0,MAX($Q$2:Q99))</f>
        <v>-3202</v>
      </c>
    </row>
    <row r="100" customFormat="false" ht="15" hidden="false" customHeight="false" outlineLevel="0" collapsed="false">
      <c r="A100" s="7" t="n">
        <v>43937</v>
      </c>
      <c r="B100" s="8" t="n">
        <f aca="false">YEAR(A100)</f>
        <v>2020</v>
      </c>
      <c r="C100" s="8" t="n">
        <f aca="false">MONTH(A100)</f>
        <v>4</v>
      </c>
      <c r="D100" s="8" t="s">
        <v>36</v>
      </c>
      <c r="E100" s="9" t="n">
        <v>8851.2</v>
      </c>
      <c r="F100" s="10" t="n">
        <v>49.74</v>
      </c>
      <c r="G100" s="11" t="n">
        <v>173.4</v>
      </c>
      <c r="H100" s="4" t="n">
        <v>4243</v>
      </c>
      <c r="I100" s="8" t="n">
        <v>1</v>
      </c>
      <c r="J100" s="11" t="n">
        <v>171.3</v>
      </c>
      <c r="K100" s="4" t="n">
        <v>2591</v>
      </c>
      <c r="L100" s="8" t="n">
        <v>1</v>
      </c>
      <c r="M100" s="11" t="n">
        <v>164.1</v>
      </c>
      <c r="N100" s="4" t="n">
        <v>2403</v>
      </c>
      <c r="O100" s="8" t="n">
        <v>1</v>
      </c>
      <c r="P100" s="4" t="n">
        <f aca="false">H100+K100+N100</f>
        <v>9237</v>
      </c>
      <c r="Q100" s="4" t="n">
        <f aca="false">Q99+P100</f>
        <v>141957</v>
      </c>
      <c r="R100" s="4" t="n">
        <f aca="false">Q100-MAX(0,MAX($Q$2:Q100))</f>
        <v>0</v>
      </c>
    </row>
    <row r="101" customFormat="false" ht="15" hidden="false" customHeight="false" outlineLevel="0" collapsed="false">
      <c r="A101" s="7" t="n">
        <v>43944</v>
      </c>
      <c r="B101" s="8" t="n">
        <f aca="false">YEAR(A101)</f>
        <v>2020</v>
      </c>
      <c r="C101" s="8" t="n">
        <f aca="false">MONTH(A101)</f>
        <v>4</v>
      </c>
      <c r="D101" s="8" t="s">
        <v>36</v>
      </c>
      <c r="E101" s="9" t="n">
        <v>9232.4</v>
      </c>
      <c r="F101" s="10" t="n">
        <v>42.82</v>
      </c>
      <c r="G101" s="11" t="n">
        <v>146.9</v>
      </c>
      <c r="H101" s="4" t="n">
        <v>2280</v>
      </c>
      <c r="I101" s="8" t="n">
        <v>1</v>
      </c>
      <c r="J101" s="11" t="n">
        <v>144.5</v>
      </c>
      <c r="K101" s="4" t="n">
        <v>3442</v>
      </c>
      <c r="L101" s="8" t="n">
        <v>1</v>
      </c>
      <c r="M101" s="11" t="n">
        <v>139.5</v>
      </c>
      <c r="N101" s="4" t="n">
        <v>4490</v>
      </c>
      <c r="O101" s="8" t="n">
        <v>0</v>
      </c>
      <c r="P101" s="4" t="n">
        <f aca="false">H101+K101+N101</f>
        <v>10212</v>
      </c>
      <c r="Q101" s="4" t="n">
        <f aca="false">Q100+P101</f>
        <v>152169</v>
      </c>
      <c r="R101" s="4" t="n">
        <f aca="false">Q101-MAX(0,MAX($Q$2:Q101))</f>
        <v>0</v>
      </c>
    </row>
    <row r="102" customFormat="false" ht="15" hidden="false" customHeight="false" outlineLevel="0" collapsed="false">
      <c r="A102" s="7" t="n">
        <v>43951</v>
      </c>
      <c r="B102" s="8" t="n">
        <f aca="false">YEAR(A102)</f>
        <v>2020</v>
      </c>
      <c r="C102" s="8" t="n">
        <f aca="false">MONTH(A102)</f>
        <v>4</v>
      </c>
      <c r="D102" s="8" t="s">
        <v>36</v>
      </c>
      <c r="E102" s="9" t="n">
        <v>9753.5</v>
      </c>
      <c r="F102" s="10" t="n">
        <v>33.84</v>
      </c>
      <c r="G102" s="11" t="n">
        <v>82.3</v>
      </c>
      <c r="H102" s="4" t="n">
        <v>1348</v>
      </c>
      <c r="I102" s="8" t="n">
        <v>1</v>
      </c>
      <c r="J102" s="11" t="n">
        <v>81.5</v>
      </c>
      <c r="K102" s="4" t="n">
        <v>1206</v>
      </c>
      <c r="L102" s="8" t="n">
        <v>1</v>
      </c>
      <c r="M102" s="11" t="n">
        <v>79.5</v>
      </c>
      <c r="N102" s="4" t="n">
        <v>-1853</v>
      </c>
      <c r="O102" s="8" t="n">
        <v>2</v>
      </c>
      <c r="P102" s="4" t="n">
        <f aca="false">H102+K102+N102</f>
        <v>701</v>
      </c>
      <c r="Q102" s="4" t="n">
        <f aca="false">Q101+P102</f>
        <v>152870</v>
      </c>
      <c r="R102" s="4" t="n">
        <f aca="false">Q102-MAX(0,MAX($Q$2:Q102))</f>
        <v>0</v>
      </c>
    </row>
    <row r="103" customFormat="false" ht="15" hidden="false" customHeight="false" outlineLevel="0" collapsed="false">
      <c r="A103" s="7" t="n">
        <v>43958</v>
      </c>
      <c r="B103" s="8" t="n">
        <f aca="false">YEAR(A103)</f>
        <v>2020</v>
      </c>
      <c r="C103" s="8" t="n">
        <f aca="false">MONTH(A103)</f>
        <v>5</v>
      </c>
      <c r="D103" s="8" t="s">
        <v>36</v>
      </c>
      <c r="E103" s="9" t="n">
        <v>9234</v>
      </c>
      <c r="F103" s="10" t="n">
        <v>41.25</v>
      </c>
      <c r="G103" s="11" t="n">
        <v>143.8</v>
      </c>
      <c r="H103" s="4" t="n">
        <v>1087</v>
      </c>
      <c r="I103" s="8" t="n">
        <v>1</v>
      </c>
      <c r="J103" s="11" t="n">
        <v>140.8</v>
      </c>
      <c r="K103" s="4" t="n">
        <v>290</v>
      </c>
      <c r="L103" s="8" t="n">
        <v>1</v>
      </c>
      <c r="M103" s="11" t="n">
        <v>134.5</v>
      </c>
      <c r="N103" s="4" t="n">
        <v>2625</v>
      </c>
      <c r="O103" s="8" t="n">
        <v>1</v>
      </c>
      <c r="P103" s="4" t="n">
        <f aca="false">H103+K103+N103</f>
        <v>4002</v>
      </c>
      <c r="Q103" s="4" t="n">
        <f aca="false">Q102+P103</f>
        <v>156872</v>
      </c>
      <c r="R103" s="4" t="n">
        <f aca="false">Q103-MAX(0,MAX($Q$2:Q103))</f>
        <v>0</v>
      </c>
    </row>
    <row r="104" customFormat="false" ht="15" hidden="false" customHeight="false" outlineLevel="0" collapsed="false">
      <c r="A104" s="7" t="n">
        <v>43965</v>
      </c>
      <c r="B104" s="8" t="n">
        <f aca="false">YEAR(A104)</f>
        <v>2020</v>
      </c>
      <c r="C104" s="8" t="n">
        <f aca="false">MONTH(A104)</f>
        <v>5</v>
      </c>
      <c r="D104" s="8" t="s">
        <v>36</v>
      </c>
      <c r="E104" s="9" t="n">
        <v>9214</v>
      </c>
      <c r="F104" s="10" t="n">
        <v>38.84</v>
      </c>
      <c r="G104" s="11" t="n">
        <v>179.7</v>
      </c>
      <c r="H104" s="4" t="n">
        <v>3135</v>
      </c>
      <c r="I104" s="8" t="n">
        <v>1</v>
      </c>
      <c r="J104" s="11" t="n">
        <v>177.2</v>
      </c>
      <c r="K104" s="4" t="n">
        <v>4574</v>
      </c>
      <c r="L104" s="8" t="n">
        <v>1</v>
      </c>
      <c r="M104" s="11" t="n">
        <v>168.7</v>
      </c>
      <c r="N104" s="4" t="n">
        <v>3104</v>
      </c>
      <c r="O104" s="8" t="n">
        <v>1</v>
      </c>
      <c r="P104" s="4" t="n">
        <f aca="false">H104+K104+N104</f>
        <v>10813</v>
      </c>
      <c r="Q104" s="4" t="n">
        <f aca="false">Q103+P104</f>
        <v>167685</v>
      </c>
      <c r="R104" s="4" t="n">
        <f aca="false">Q104-MAX(0,MAX($Q$2:Q104))</f>
        <v>0</v>
      </c>
    </row>
    <row r="105" customFormat="false" ht="15" hidden="false" customHeight="false" outlineLevel="0" collapsed="false">
      <c r="A105" s="7" t="n">
        <v>43972</v>
      </c>
      <c r="B105" s="8" t="n">
        <f aca="false">YEAR(A105)</f>
        <v>2020</v>
      </c>
      <c r="C105" s="8" t="n">
        <f aca="false">MONTH(A105)</f>
        <v>5</v>
      </c>
      <c r="D105" s="8" t="s">
        <v>36</v>
      </c>
      <c r="E105" s="9" t="n">
        <v>9079.4</v>
      </c>
      <c r="F105" s="10" t="n">
        <v>35.81</v>
      </c>
      <c r="G105" s="11" t="n">
        <v>114.1</v>
      </c>
      <c r="H105" s="4" t="n">
        <v>1863</v>
      </c>
      <c r="I105" s="8" t="n">
        <v>1</v>
      </c>
      <c r="J105" s="11" t="n">
        <v>112.4</v>
      </c>
      <c r="K105" s="4" t="n">
        <v>1413</v>
      </c>
      <c r="L105" s="8" t="n">
        <v>1</v>
      </c>
      <c r="M105" s="11" t="n">
        <v>108.4</v>
      </c>
      <c r="N105" s="4" t="n">
        <v>936</v>
      </c>
      <c r="O105" s="8" t="n">
        <v>1</v>
      </c>
      <c r="P105" s="4" t="n">
        <f aca="false">H105+K105+N105</f>
        <v>4212</v>
      </c>
      <c r="Q105" s="4" t="n">
        <f aca="false">Q104+P105</f>
        <v>171897</v>
      </c>
      <c r="R105" s="4" t="n">
        <f aca="false">Q105-MAX(0,MAX($Q$2:Q105))</f>
        <v>0</v>
      </c>
    </row>
    <row r="106" customFormat="false" ht="15" hidden="false" customHeight="false" outlineLevel="0" collapsed="false">
      <c r="A106" s="7" t="n">
        <v>43979</v>
      </c>
      <c r="B106" s="8" t="n">
        <f aca="false">YEAR(A106)</f>
        <v>2020</v>
      </c>
      <c r="C106" s="8" t="n">
        <f aca="false">MONTH(A106)</f>
        <v>5</v>
      </c>
      <c r="D106" s="8" t="s">
        <v>36</v>
      </c>
      <c r="E106" s="9" t="n">
        <v>9365</v>
      </c>
      <c r="F106" s="10" t="n">
        <v>31.27</v>
      </c>
      <c r="G106" s="11" t="n">
        <v>96.7</v>
      </c>
      <c r="H106" s="4" t="n">
        <v>2727</v>
      </c>
      <c r="I106" s="8" t="n">
        <v>1</v>
      </c>
      <c r="J106" s="11" t="n">
        <v>93.9</v>
      </c>
      <c r="K106" s="4" t="n">
        <v>2083</v>
      </c>
      <c r="L106" s="8" t="n">
        <v>1</v>
      </c>
      <c r="M106" s="11" t="n">
        <v>90.1</v>
      </c>
      <c r="N106" s="4" t="n">
        <v>1429</v>
      </c>
      <c r="O106" s="8" t="n">
        <v>1</v>
      </c>
      <c r="P106" s="4" t="n">
        <f aca="false">H106+K106+N106</f>
        <v>6239</v>
      </c>
      <c r="Q106" s="4" t="n">
        <f aca="false">Q105+P106</f>
        <v>178136</v>
      </c>
      <c r="R106" s="4" t="n">
        <f aca="false">Q106-MAX(0,MAX($Q$2:Q106))</f>
        <v>0</v>
      </c>
    </row>
    <row r="107" customFormat="false" ht="15" hidden="false" customHeight="false" outlineLevel="0" collapsed="false">
      <c r="A107" s="7" t="n">
        <v>43986</v>
      </c>
      <c r="B107" s="8" t="n">
        <f aca="false">YEAR(A107)</f>
        <v>2020</v>
      </c>
      <c r="C107" s="8" t="n">
        <f aca="false">MONTH(A107)</f>
        <v>6</v>
      </c>
      <c r="D107" s="8" t="s">
        <v>36</v>
      </c>
      <c r="E107" s="9" t="n">
        <v>10054.2</v>
      </c>
      <c r="F107" s="10" t="n">
        <v>30.04</v>
      </c>
      <c r="G107" s="11" t="n">
        <v>98.2</v>
      </c>
      <c r="H107" s="4" t="n">
        <v>2743</v>
      </c>
      <c r="I107" s="8" t="n">
        <v>1</v>
      </c>
      <c r="J107" s="11" t="n">
        <v>95.1</v>
      </c>
      <c r="K107" s="4" t="n">
        <v>-2171</v>
      </c>
      <c r="L107" s="8" t="n">
        <v>2</v>
      </c>
      <c r="M107" s="11" t="n">
        <v>91</v>
      </c>
      <c r="N107" s="4" t="n">
        <v>-2086</v>
      </c>
      <c r="O107" s="8" t="n">
        <v>2</v>
      </c>
      <c r="P107" s="4" t="n">
        <f aca="false">H107+K107+N107</f>
        <v>-1514</v>
      </c>
      <c r="Q107" s="4" t="n">
        <f aca="false">Q106+P107</f>
        <v>176622</v>
      </c>
      <c r="R107" s="4" t="n">
        <f aca="false">Q107-MAX(0,MAX($Q$2:Q107))</f>
        <v>-1514</v>
      </c>
    </row>
    <row r="108" customFormat="false" ht="15" hidden="false" customHeight="false" outlineLevel="0" collapsed="false">
      <c r="A108" s="7" t="n">
        <v>43993</v>
      </c>
      <c r="B108" s="8" t="n">
        <f aca="false">YEAR(A108)</f>
        <v>2020</v>
      </c>
      <c r="C108" s="8" t="n">
        <f aca="false">MONTH(A108)</f>
        <v>6</v>
      </c>
      <c r="D108" s="8" t="s">
        <v>36</v>
      </c>
      <c r="E108" s="9" t="n">
        <v>10094.1</v>
      </c>
      <c r="F108" s="10" t="n">
        <v>29.44</v>
      </c>
      <c r="G108" s="11" t="n">
        <v>99.2</v>
      </c>
      <c r="H108" s="4" t="n">
        <v>-2254</v>
      </c>
      <c r="I108" s="8" t="n">
        <v>2</v>
      </c>
      <c r="J108" s="11" t="n">
        <v>97.3</v>
      </c>
      <c r="K108" s="4" t="n">
        <v>2213</v>
      </c>
      <c r="L108" s="8" t="n">
        <v>1</v>
      </c>
      <c r="M108" s="11" t="n">
        <v>93.3</v>
      </c>
      <c r="N108" s="4" t="n">
        <v>1397</v>
      </c>
      <c r="O108" s="8" t="n">
        <v>1</v>
      </c>
      <c r="P108" s="4" t="n">
        <f aca="false">H108+K108+N108</f>
        <v>1356</v>
      </c>
      <c r="Q108" s="4" t="n">
        <f aca="false">Q107+P108</f>
        <v>177978</v>
      </c>
      <c r="R108" s="4" t="n">
        <f aca="false">Q108-MAX(0,MAX($Q$2:Q108))</f>
        <v>-158</v>
      </c>
    </row>
    <row r="109" customFormat="false" ht="15" hidden="false" customHeight="false" outlineLevel="0" collapsed="false">
      <c r="A109" s="7" t="n">
        <v>44000</v>
      </c>
      <c r="B109" s="8" t="n">
        <f aca="false">YEAR(A109)</f>
        <v>2020</v>
      </c>
      <c r="C109" s="8" t="n">
        <f aca="false">MONTH(A109)</f>
        <v>6</v>
      </c>
      <c r="D109" s="8" t="s">
        <v>36</v>
      </c>
      <c r="E109" s="9" t="n">
        <v>9863.2</v>
      </c>
      <c r="F109" s="10" t="n">
        <v>33.35</v>
      </c>
      <c r="G109" s="11" t="n">
        <v>110.6</v>
      </c>
      <c r="H109" s="4" t="n">
        <v>1648</v>
      </c>
      <c r="I109" s="8" t="n">
        <v>1</v>
      </c>
      <c r="J109" s="11" t="n">
        <v>110.3</v>
      </c>
      <c r="K109" s="4" t="n">
        <v>1065</v>
      </c>
      <c r="L109" s="8" t="n">
        <v>1</v>
      </c>
      <c r="M109" s="11" t="n">
        <v>104</v>
      </c>
      <c r="N109" s="4" t="n">
        <v>1844</v>
      </c>
      <c r="O109" s="8" t="n">
        <v>1</v>
      </c>
      <c r="P109" s="4" t="n">
        <f aca="false">H109+K109+N109</f>
        <v>4557</v>
      </c>
      <c r="Q109" s="4" t="n">
        <f aca="false">Q108+P109</f>
        <v>182535</v>
      </c>
      <c r="R109" s="4" t="n">
        <f aca="false">Q109-MAX(0,MAX($Q$2:Q109))</f>
        <v>0</v>
      </c>
    </row>
    <row r="110" customFormat="false" ht="15" hidden="false" customHeight="false" outlineLevel="0" collapsed="false">
      <c r="A110" s="7" t="n">
        <v>44007</v>
      </c>
      <c r="B110" s="8" t="n">
        <f aca="false">YEAR(A110)</f>
        <v>2020</v>
      </c>
      <c r="C110" s="8" t="n">
        <f aca="false">MONTH(A110)</f>
        <v>6</v>
      </c>
      <c r="D110" s="8" t="s">
        <v>36</v>
      </c>
      <c r="E110" s="9" t="n">
        <v>10235.6</v>
      </c>
      <c r="F110" s="10" t="n">
        <v>29.58</v>
      </c>
      <c r="G110" s="11" t="n">
        <v>82.4</v>
      </c>
      <c r="H110" s="4" t="n">
        <v>1207</v>
      </c>
      <c r="I110" s="8" t="n">
        <v>1</v>
      </c>
      <c r="J110" s="11" t="n">
        <v>81.2</v>
      </c>
      <c r="K110" s="4" t="n">
        <v>-1886</v>
      </c>
      <c r="L110" s="8" t="n">
        <v>2</v>
      </c>
      <c r="M110" s="11" t="n">
        <v>79.1</v>
      </c>
      <c r="N110" s="4" t="n">
        <v>-1843</v>
      </c>
      <c r="O110" s="8" t="n">
        <v>2</v>
      </c>
      <c r="P110" s="4" t="n">
        <f aca="false">H110+K110+N110</f>
        <v>-2522</v>
      </c>
      <c r="Q110" s="4" t="n">
        <f aca="false">Q109+P110</f>
        <v>180013</v>
      </c>
      <c r="R110" s="4" t="n">
        <f aca="false">Q110-MAX(0,MAX($Q$2:Q110))</f>
        <v>-2522</v>
      </c>
    </row>
    <row r="111" customFormat="false" ht="15" hidden="false" customHeight="false" outlineLevel="0" collapsed="false">
      <c r="A111" s="7" t="n">
        <v>44014</v>
      </c>
      <c r="B111" s="8" t="n">
        <f aca="false">YEAR(A111)</f>
        <v>2020</v>
      </c>
      <c r="C111" s="8" t="n">
        <f aca="false">MONTH(A111)</f>
        <v>7</v>
      </c>
      <c r="D111" s="8" t="s">
        <v>36</v>
      </c>
      <c r="E111" s="9" t="n">
        <v>10493</v>
      </c>
      <c r="F111" s="10" t="n">
        <v>28.12</v>
      </c>
      <c r="G111" s="11" t="n">
        <v>91.4</v>
      </c>
      <c r="H111" s="4" t="n">
        <v>1378</v>
      </c>
      <c r="I111" s="8" t="n">
        <v>1</v>
      </c>
      <c r="J111" s="11" t="n">
        <v>90.2</v>
      </c>
      <c r="K111" s="4" t="n">
        <v>1151</v>
      </c>
      <c r="L111" s="8" t="n">
        <v>1</v>
      </c>
      <c r="M111" s="11" t="n">
        <v>87.6</v>
      </c>
      <c r="N111" s="4" t="n">
        <v>742</v>
      </c>
      <c r="O111" s="8" t="n">
        <v>1</v>
      </c>
      <c r="P111" s="4" t="n">
        <f aca="false">H111+K111+N111</f>
        <v>3271</v>
      </c>
      <c r="Q111" s="4" t="n">
        <f aca="false">Q110+P111</f>
        <v>183284</v>
      </c>
      <c r="R111" s="4" t="n">
        <f aca="false">Q111-MAX(0,MAX($Q$2:Q111))</f>
        <v>0</v>
      </c>
    </row>
    <row r="112" customFormat="false" ht="15" hidden="false" customHeight="false" outlineLevel="0" collapsed="false">
      <c r="A112" s="7" t="n">
        <v>44021</v>
      </c>
      <c r="B112" s="8" t="n">
        <f aca="false">YEAR(A112)</f>
        <v>2020</v>
      </c>
      <c r="C112" s="8" t="n">
        <f aca="false">MONTH(A112)</f>
        <v>7</v>
      </c>
      <c r="D112" s="8" t="s">
        <v>36</v>
      </c>
      <c r="E112" s="9" t="n">
        <v>10755.6</v>
      </c>
      <c r="F112" s="10" t="n">
        <v>26.1</v>
      </c>
      <c r="G112" s="11" t="n">
        <v>85.9</v>
      </c>
      <c r="H112" s="4" t="n">
        <v>1503</v>
      </c>
      <c r="I112" s="8" t="n">
        <v>1</v>
      </c>
      <c r="J112" s="11" t="n">
        <v>84.3</v>
      </c>
      <c r="K112" s="4" t="n">
        <v>1734</v>
      </c>
      <c r="L112" s="8" t="n">
        <v>1</v>
      </c>
      <c r="M112" s="11" t="n">
        <v>82.1</v>
      </c>
      <c r="N112" s="4" t="n">
        <v>806</v>
      </c>
      <c r="O112" s="8" t="n">
        <v>1</v>
      </c>
      <c r="P112" s="4" t="n">
        <f aca="false">H112+K112+N112</f>
        <v>4043</v>
      </c>
      <c r="Q112" s="4" t="n">
        <f aca="false">Q111+P112</f>
        <v>187327</v>
      </c>
      <c r="R112" s="4" t="n">
        <f aca="false">Q112-MAX(0,MAX($Q$2:Q112))</f>
        <v>0</v>
      </c>
    </row>
    <row r="113" customFormat="false" ht="15" hidden="false" customHeight="false" outlineLevel="0" collapsed="false">
      <c r="A113" s="7" t="n">
        <v>44028</v>
      </c>
      <c r="B113" s="8" t="n">
        <f aca="false">YEAR(A113)</f>
        <v>2020</v>
      </c>
      <c r="C113" s="8" t="n">
        <f aca="false">MONTH(A113)</f>
        <v>7</v>
      </c>
      <c r="D113" s="8" t="s">
        <v>36</v>
      </c>
      <c r="E113" s="9" t="n">
        <v>10706.2</v>
      </c>
      <c r="F113" s="10" t="n">
        <v>26.29</v>
      </c>
      <c r="G113" s="11" t="n">
        <v>89.5</v>
      </c>
      <c r="H113" s="4" t="n">
        <v>-2056</v>
      </c>
      <c r="I113" s="8" t="n">
        <v>2</v>
      </c>
      <c r="J113" s="11" t="n">
        <v>88.9</v>
      </c>
      <c r="K113" s="4" t="n">
        <v>920</v>
      </c>
      <c r="L113" s="8" t="n">
        <v>1</v>
      </c>
      <c r="M113" s="11" t="n">
        <v>85.7</v>
      </c>
      <c r="N113" s="4" t="n">
        <v>-1978</v>
      </c>
      <c r="O113" s="8" t="n">
        <v>2</v>
      </c>
      <c r="P113" s="4" t="n">
        <f aca="false">H113+K113+N113</f>
        <v>-3114</v>
      </c>
      <c r="Q113" s="4" t="n">
        <f aca="false">Q112+P113</f>
        <v>184213</v>
      </c>
      <c r="R113" s="4" t="n">
        <f aca="false">Q113-MAX(0,MAX($Q$2:Q113))</f>
        <v>-3114</v>
      </c>
    </row>
    <row r="114" customFormat="false" ht="15" hidden="false" customHeight="false" outlineLevel="0" collapsed="false">
      <c r="A114" s="7" t="n">
        <v>44035</v>
      </c>
      <c r="B114" s="8" t="n">
        <f aca="false">YEAR(A114)</f>
        <v>2020</v>
      </c>
      <c r="C114" s="8" t="n">
        <f aca="false">MONTH(A114)</f>
        <v>7</v>
      </c>
      <c r="D114" s="8" t="s">
        <v>36</v>
      </c>
      <c r="E114" s="9" t="n">
        <v>11135</v>
      </c>
      <c r="F114" s="10" t="n">
        <v>24.89</v>
      </c>
      <c r="G114" s="11" t="n">
        <v>103.6</v>
      </c>
      <c r="H114" s="4" t="n">
        <v>1471</v>
      </c>
      <c r="I114" s="8" t="n">
        <v>1</v>
      </c>
      <c r="J114" s="11" t="n">
        <v>102.4</v>
      </c>
      <c r="K114" s="4" t="n">
        <v>1195</v>
      </c>
      <c r="L114" s="8" t="n">
        <v>1</v>
      </c>
      <c r="M114" s="11" t="n">
        <v>97.1</v>
      </c>
      <c r="N114" s="4" t="n">
        <v>1515</v>
      </c>
      <c r="O114" s="8" t="n">
        <v>1</v>
      </c>
      <c r="P114" s="4" t="n">
        <f aca="false">H114+K114+N114</f>
        <v>4181</v>
      </c>
      <c r="Q114" s="4" t="n">
        <f aca="false">Q113+P114</f>
        <v>188394</v>
      </c>
      <c r="R114" s="4" t="n">
        <f aca="false">Q114-MAX(0,MAX($Q$2:Q114))</f>
        <v>0</v>
      </c>
    </row>
    <row r="115" customFormat="false" ht="15" hidden="false" customHeight="false" outlineLevel="0" collapsed="false">
      <c r="A115" s="7" t="n">
        <v>44042</v>
      </c>
      <c r="B115" s="8" t="n">
        <f aca="false">YEAR(A115)</f>
        <v>2020</v>
      </c>
      <c r="C115" s="8" t="n">
        <f aca="false">MONTH(A115)</f>
        <v>7</v>
      </c>
      <c r="D115" s="8" t="s">
        <v>36</v>
      </c>
      <c r="E115" s="9" t="n">
        <v>11254.3</v>
      </c>
      <c r="F115" s="10" t="n">
        <v>24.11</v>
      </c>
      <c r="G115" s="11" t="n">
        <v>92.5</v>
      </c>
      <c r="H115" s="4" t="n">
        <v>925</v>
      </c>
      <c r="I115" s="8" t="n">
        <v>1</v>
      </c>
      <c r="J115" s="11" t="n">
        <v>89</v>
      </c>
      <c r="K115" s="4" t="n">
        <v>-2047</v>
      </c>
      <c r="L115" s="8" t="n">
        <v>2</v>
      </c>
      <c r="M115" s="11" t="n">
        <v>87</v>
      </c>
      <c r="N115" s="4" t="n">
        <v>-2004</v>
      </c>
      <c r="O115" s="8" t="n">
        <v>2</v>
      </c>
      <c r="P115" s="4" t="n">
        <f aca="false">H115+K115+N115</f>
        <v>-3126</v>
      </c>
      <c r="Q115" s="4" t="n">
        <f aca="false">Q114+P115</f>
        <v>185268</v>
      </c>
      <c r="R115" s="4" t="n">
        <f aca="false">Q115-MAX(0,MAX($Q$2:Q115))</f>
        <v>-3126</v>
      </c>
    </row>
    <row r="116" customFormat="false" ht="15" hidden="false" customHeight="false" outlineLevel="0" collapsed="false">
      <c r="A116" s="7" t="n">
        <v>44049</v>
      </c>
      <c r="B116" s="8" t="n">
        <f aca="false">YEAR(A116)</f>
        <v>2020</v>
      </c>
      <c r="C116" s="8" t="n">
        <f aca="false">MONTH(A116)</f>
        <v>8</v>
      </c>
      <c r="D116" s="8" t="s">
        <v>36</v>
      </c>
      <c r="E116" s="9" t="n">
        <v>11185.7</v>
      </c>
      <c r="F116" s="10" t="n">
        <v>23.57</v>
      </c>
      <c r="G116" s="11" t="n">
        <v>107</v>
      </c>
      <c r="H116" s="4" t="n">
        <v>1817</v>
      </c>
      <c r="I116" s="8" t="n">
        <v>1</v>
      </c>
      <c r="J116" s="11" t="n">
        <v>105.6</v>
      </c>
      <c r="K116" s="4" t="n">
        <v>1487</v>
      </c>
      <c r="L116" s="8" t="n">
        <v>1</v>
      </c>
      <c r="M116" s="11" t="n">
        <v>100.7</v>
      </c>
      <c r="N116" s="4" t="n">
        <v>1572</v>
      </c>
      <c r="O116" s="8" t="n">
        <v>1</v>
      </c>
      <c r="P116" s="4" t="n">
        <f aca="false">H116+K116+N116</f>
        <v>4876</v>
      </c>
      <c r="Q116" s="4" t="n">
        <f aca="false">Q115+P116</f>
        <v>190144</v>
      </c>
      <c r="R116" s="4" t="n">
        <f aca="false">Q116-MAX(0,MAX($Q$2:Q116))</f>
        <v>0</v>
      </c>
    </row>
    <row r="117" customFormat="false" ht="15" hidden="false" customHeight="false" outlineLevel="0" collapsed="false">
      <c r="A117" s="7" t="n">
        <v>44056</v>
      </c>
      <c r="B117" s="8" t="n">
        <f aca="false">YEAR(A117)</f>
        <v>2020</v>
      </c>
      <c r="C117" s="8" t="n">
        <f aca="false">MONTH(A117)</f>
        <v>8</v>
      </c>
      <c r="D117" s="8" t="s">
        <v>36</v>
      </c>
      <c r="E117" s="9" t="n">
        <v>11334.8</v>
      </c>
      <c r="F117" s="10" t="n">
        <v>20.85</v>
      </c>
      <c r="G117" s="11" t="n">
        <v>55.3</v>
      </c>
      <c r="H117" s="4" t="n">
        <v>1105</v>
      </c>
      <c r="I117" s="8" t="n">
        <v>1</v>
      </c>
      <c r="J117" s="11" t="n">
        <v>54.5</v>
      </c>
      <c r="K117" s="4" t="n">
        <v>1241</v>
      </c>
      <c r="L117" s="8" t="n">
        <v>1</v>
      </c>
      <c r="M117" s="11" t="n">
        <v>52</v>
      </c>
      <c r="N117" s="4" t="n">
        <v>838</v>
      </c>
      <c r="O117" s="8" t="n">
        <v>1</v>
      </c>
      <c r="P117" s="4" t="n">
        <f aca="false">H117+K117+N117</f>
        <v>3184</v>
      </c>
      <c r="Q117" s="4" t="n">
        <f aca="false">Q116+P117</f>
        <v>193328</v>
      </c>
      <c r="R117" s="4" t="n">
        <f aca="false">Q117-MAX(0,MAX($Q$2:Q117))</f>
        <v>0</v>
      </c>
    </row>
    <row r="118" customFormat="false" ht="15" hidden="false" customHeight="false" outlineLevel="0" collapsed="false">
      <c r="A118" s="7" t="n">
        <v>44063</v>
      </c>
      <c r="B118" s="8" t="n">
        <f aca="false">YEAR(A118)</f>
        <v>2020</v>
      </c>
      <c r="C118" s="8" t="n">
        <f aca="false">MONTH(A118)</f>
        <v>8</v>
      </c>
      <c r="D118" s="8" t="s">
        <v>36</v>
      </c>
      <c r="E118" s="9" t="n">
        <v>11317.4</v>
      </c>
      <c r="F118" s="10" t="n">
        <v>19.96</v>
      </c>
      <c r="G118" s="11" t="n">
        <v>70.5</v>
      </c>
      <c r="H118" s="4" t="n">
        <v>538</v>
      </c>
      <c r="I118" s="8" t="n">
        <v>1</v>
      </c>
      <c r="J118" s="11" t="n">
        <v>70.2</v>
      </c>
      <c r="K118" s="4" t="n">
        <v>-1662</v>
      </c>
      <c r="L118" s="8" t="n">
        <v>2</v>
      </c>
      <c r="M118" s="11" t="n">
        <v>67.4</v>
      </c>
      <c r="N118" s="4" t="n">
        <v>-1603</v>
      </c>
      <c r="O118" s="8" t="n">
        <v>2</v>
      </c>
      <c r="P118" s="4" t="n">
        <f aca="false">H118+K118+N118</f>
        <v>-2727</v>
      </c>
      <c r="Q118" s="4" t="n">
        <f aca="false">Q117+P118</f>
        <v>190601</v>
      </c>
      <c r="R118" s="4" t="n">
        <f aca="false">Q118-MAX(0,MAX($Q$2:Q118))</f>
        <v>-2727</v>
      </c>
    </row>
    <row r="119" customFormat="false" ht="15" hidden="false" customHeight="false" outlineLevel="0" collapsed="false">
      <c r="A119" s="7" t="n">
        <v>44070</v>
      </c>
      <c r="B119" s="8" t="n">
        <f aca="false">YEAR(A119)</f>
        <v>2020</v>
      </c>
      <c r="C119" s="8" t="n">
        <f aca="false">MONTH(A119)</f>
        <v>8</v>
      </c>
      <c r="D119" s="8" t="s">
        <v>36</v>
      </c>
      <c r="E119" s="9" t="n">
        <v>11609.3</v>
      </c>
      <c r="F119" s="10" t="n">
        <v>19.3</v>
      </c>
      <c r="G119" s="11" t="n">
        <v>81.9</v>
      </c>
      <c r="H119" s="4" t="n">
        <v>1916</v>
      </c>
      <c r="I119" s="8" t="n">
        <v>1</v>
      </c>
      <c r="J119" s="11" t="n">
        <v>80.6</v>
      </c>
      <c r="K119" s="4" t="n">
        <v>1952</v>
      </c>
      <c r="L119" s="8" t="n">
        <v>1</v>
      </c>
      <c r="M119" s="11" t="n">
        <v>77</v>
      </c>
      <c r="N119" s="4" t="n">
        <v>1091</v>
      </c>
      <c r="O119" s="8" t="n">
        <v>1</v>
      </c>
      <c r="P119" s="4" t="n">
        <f aca="false">H119+K119+N119</f>
        <v>4959</v>
      </c>
      <c r="Q119" s="4" t="n">
        <f aca="false">Q118+P119</f>
        <v>195560</v>
      </c>
      <c r="R119" s="4" t="n">
        <f aca="false">Q119-MAX(0,MAX($Q$2:Q119))</f>
        <v>0</v>
      </c>
    </row>
    <row r="120" customFormat="false" ht="15" hidden="false" customHeight="false" outlineLevel="0" collapsed="false">
      <c r="A120" s="7" t="n">
        <v>44077</v>
      </c>
      <c r="B120" s="8" t="n">
        <f aca="false">YEAR(A120)</f>
        <v>2020</v>
      </c>
      <c r="C120" s="8" t="n">
        <f aca="false">MONTH(A120)</f>
        <v>9</v>
      </c>
      <c r="D120" s="8" t="s">
        <v>36</v>
      </c>
      <c r="E120" s="9" t="n">
        <v>11566.2</v>
      </c>
      <c r="F120" s="10" t="n">
        <v>21.11</v>
      </c>
      <c r="G120" s="11" t="n">
        <v>86.9</v>
      </c>
      <c r="H120" s="4" t="n">
        <v>2467</v>
      </c>
      <c r="I120" s="8" t="n">
        <v>1</v>
      </c>
      <c r="J120" s="11" t="n">
        <v>84</v>
      </c>
      <c r="K120" s="4" t="n">
        <v>1804</v>
      </c>
      <c r="L120" s="8" t="n">
        <v>1</v>
      </c>
      <c r="M120" s="11" t="n">
        <v>80.7</v>
      </c>
      <c r="N120" s="4" t="n">
        <v>1928</v>
      </c>
      <c r="O120" s="8" t="n">
        <v>1</v>
      </c>
      <c r="P120" s="4" t="n">
        <f aca="false">H120+K120+N120</f>
        <v>6199</v>
      </c>
      <c r="Q120" s="4" t="n">
        <f aca="false">Q119+P120</f>
        <v>201759</v>
      </c>
      <c r="R120" s="4" t="n">
        <f aca="false">Q120-MAX(0,MAX($Q$2:Q120))</f>
        <v>0</v>
      </c>
    </row>
    <row r="121" customFormat="false" ht="15" hidden="false" customHeight="false" outlineLevel="0" collapsed="false">
      <c r="A121" s="7" t="n">
        <v>44084</v>
      </c>
      <c r="B121" s="8" t="n">
        <f aca="false">YEAR(A121)</f>
        <v>2020</v>
      </c>
      <c r="C121" s="8" t="n">
        <f aca="false">MONTH(A121)</f>
        <v>9</v>
      </c>
      <c r="D121" s="8" t="s">
        <v>36</v>
      </c>
      <c r="E121" s="9" t="n">
        <v>11363.3</v>
      </c>
      <c r="F121" s="10" t="n">
        <v>22.23</v>
      </c>
      <c r="G121" s="11" t="n">
        <v>65.2</v>
      </c>
      <c r="H121" s="4" t="n">
        <v>1005</v>
      </c>
      <c r="I121" s="8" t="n">
        <v>1</v>
      </c>
      <c r="J121" s="11" t="n">
        <v>64.2</v>
      </c>
      <c r="K121" s="4" t="n">
        <v>864</v>
      </c>
      <c r="L121" s="8" t="n">
        <v>1</v>
      </c>
      <c r="M121" s="11" t="n">
        <v>61.4</v>
      </c>
      <c r="N121" s="4" t="n">
        <v>804</v>
      </c>
      <c r="O121" s="8" t="n">
        <v>1</v>
      </c>
      <c r="P121" s="4" t="n">
        <f aca="false">H121+K121+N121</f>
        <v>2673</v>
      </c>
      <c r="Q121" s="4" t="n">
        <f aca="false">Q120+P121</f>
        <v>204432</v>
      </c>
      <c r="R121" s="4" t="n">
        <f aca="false">Q121-MAX(0,MAX($Q$2:Q121))</f>
        <v>0</v>
      </c>
    </row>
    <row r="122" customFormat="false" ht="15" hidden="false" customHeight="false" outlineLevel="0" collapsed="false">
      <c r="A122" s="7" t="n">
        <v>44091</v>
      </c>
      <c r="B122" s="8" t="n">
        <f aca="false">YEAR(A122)</f>
        <v>2020</v>
      </c>
      <c r="C122" s="8" t="n">
        <f aca="false">MONTH(A122)</f>
        <v>9</v>
      </c>
      <c r="D122" s="8" t="s">
        <v>36</v>
      </c>
      <c r="E122" s="9" t="n">
        <v>11539.4</v>
      </c>
      <c r="F122" s="10" t="n">
        <v>19.66</v>
      </c>
      <c r="G122" s="11" t="n">
        <v>69.7</v>
      </c>
      <c r="H122" s="4" t="n">
        <v>-1651</v>
      </c>
      <c r="I122" s="8" t="n">
        <v>2</v>
      </c>
      <c r="J122" s="11" t="n">
        <v>70.1</v>
      </c>
      <c r="K122" s="4" t="n">
        <v>2137</v>
      </c>
      <c r="L122" s="8" t="n">
        <v>1</v>
      </c>
      <c r="M122" s="11" t="n">
        <v>67.1</v>
      </c>
      <c r="N122" s="4" t="n">
        <v>2062</v>
      </c>
      <c r="O122" s="8" t="n">
        <v>1</v>
      </c>
      <c r="P122" s="4" t="n">
        <f aca="false">H122+K122+N122</f>
        <v>2548</v>
      </c>
      <c r="Q122" s="4" t="n">
        <f aca="false">Q121+P122</f>
        <v>206980</v>
      </c>
      <c r="R122" s="4" t="n">
        <f aca="false">Q122-MAX(0,MAX($Q$2:Q122))</f>
        <v>0</v>
      </c>
    </row>
    <row r="123" customFormat="false" ht="15" hidden="false" customHeight="false" outlineLevel="0" collapsed="false">
      <c r="A123" s="7" t="n">
        <v>44098</v>
      </c>
      <c r="B123" s="8" t="n">
        <f aca="false">YEAR(A123)</f>
        <v>2020</v>
      </c>
      <c r="C123" s="8" t="n">
        <f aca="false">MONTH(A123)</f>
        <v>9</v>
      </c>
      <c r="D123" s="8" t="s">
        <v>36</v>
      </c>
      <c r="E123" s="9" t="n">
        <v>11011</v>
      </c>
      <c r="F123" s="10" t="n">
        <v>20.99</v>
      </c>
      <c r="G123" s="11" t="n">
        <v>86.6</v>
      </c>
      <c r="H123" s="4" t="n">
        <v>-1997</v>
      </c>
      <c r="I123" s="8" t="n">
        <v>2</v>
      </c>
      <c r="J123" s="11" t="n">
        <v>84.5</v>
      </c>
      <c r="K123" s="4" t="n">
        <v>1361</v>
      </c>
      <c r="L123" s="8" t="n">
        <v>1</v>
      </c>
      <c r="M123" s="11" t="n">
        <v>82.7</v>
      </c>
      <c r="N123" s="4" t="n">
        <v>2639</v>
      </c>
      <c r="O123" s="8" t="n">
        <v>1</v>
      </c>
      <c r="P123" s="4" t="n">
        <f aca="false">H123+K123+N123</f>
        <v>2003</v>
      </c>
      <c r="Q123" s="4" t="n">
        <f aca="false">Q122+P123</f>
        <v>208983</v>
      </c>
      <c r="R123" s="4" t="n">
        <f aca="false">Q123-MAX(0,MAX($Q$2:Q123))</f>
        <v>0</v>
      </c>
    </row>
    <row r="124" customFormat="false" ht="15" hidden="false" customHeight="false" outlineLevel="0" collapsed="false">
      <c r="A124" s="7" t="n">
        <v>44105</v>
      </c>
      <c r="B124" s="8" t="n">
        <f aca="false">YEAR(A124)</f>
        <v>2020</v>
      </c>
      <c r="C124" s="8" t="n">
        <f aca="false">MONTH(A124)</f>
        <v>10</v>
      </c>
      <c r="D124" s="8" t="s">
        <v>36</v>
      </c>
      <c r="E124" s="9" t="n">
        <v>11364.4</v>
      </c>
      <c r="F124" s="10" t="n">
        <v>19.53</v>
      </c>
      <c r="G124" s="11" t="n">
        <v>61.9</v>
      </c>
      <c r="H124" s="4" t="n">
        <v>328</v>
      </c>
      <c r="I124" s="8" t="n">
        <v>1</v>
      </c>
      <c r="J124" s="11" t="n">
        <v>62.9</v>
      </c>
      <c r="K124" s="4" t="n">
        <v>0</v>
      </c>
      <c r="L124" s="8" t="n">
        <v>1</v>
      </c>
      <c r="M124" s="11" t="n">
        <v>56.6</v>
      </c>
      <c r="N124" s="4" t="n">
        <v>1245</v>
      </c>
      <c r="O124" s="8" t="n">
        <v>1</v>
      </c>
      <c r="P124" s="4" t="n">
        <f aca="false">H124+K124+N124</f>
        <v>1573</v>
      </c>
      <c r="Q124" s="4" t="n">
        <f aca="false">Q123+P124</f>
        <v>210556</v>
      </c>
      <c r="R124" s="4" t="n">
        <f aca="false">Q124-MAX(0,MAX($Q$2:Q124))</f>
        <v>0</v>
      </c>
    </row>
    <row r="125" customFormat="false" ht="15" hidden="false" customHeight="false" outlineLevel="0" collapsed="false">
      <c r="A125" s="7" t="n">
        <v>44112</v>
      </c>
      <c r="B125" s="8" t="n">
        <f aca="false">YEAR(A125)</f>
        <v>2020</v>
      </c>
      <c r="C125" s="8" t="n">
        <f aca="false">MONTH(A125)</f>
        <v>10</v>
      </c>
      <c r="D125" s="8" t="s">
        <v>36</v>
      </c>
      <c r="E125" s="9" t="n">
        <v>11835.4</v>
      </c>
      <c r="F125" s="10" t="n">
        <v>20.06</v>
      </c>
      <c r="G125" s="11" t="n">
        <v>84.7</v>
      </c>
      <c r="H125" s="4" t="n">
        <v>-1958</v>
      </c>
      <c r="I125" s="8" t="n">
        <v>2</v>
      </c>
      <c r="J125" s="11" t="n">
        <v>83.7</v>
      </c>
      <c r="K125" s="4" t="n">
        <v>2068</v>
      </c>
      <c r="L125" s="8" t="n">
        <v>1</v>
      </c>
      <c r="M125" s="11" t="n">
        <v>81.1</v>
      </c>
      <c r="N125" s="4" t="n">
        <v>2276</v>
      </c>
      <c r="O125" s="8" t="n">
        <v>1</v>
      </c>
      <c r="P125" s="4" t="n">
        <f aca="false">H125+K125+N125</f>
        <v>2386</v>
      </c>
      <c r="Q125" s="4" t="n">
        <f aca="false">Q124+P125</f>
        <v>212942</v>
      </c>
      <c r="R125" s="4" t="n">
        <f aca="false">Q125-MAX(0,MAX($Q$2:Q125))</f>
        <v>0</v>
      </c>
    </row>
    <row r="126" customFormat="false" ht="15" hidden="false" customHeight="false" outlineLevel="0" collapsed="false">
      <c r="A126" s="7" t="n">
        <v>44119</v>
      </c>
      <c r="B126" s="8" t="n">
        <f aca="false">YEAR(A126)</f>
        <v>2020</v>
      </c>
      <c r="C126" s="8" t="n">
        <f aca="false">MONTH(A126)</f>
        <v>10</v>
      </c>
      <c r="D126" s="8" t="s">
        <v>36</v>
      </c>
      <c r="E126" s="9" t="n">
        <v>12023.4</v>
      </c>
      <c r="F126" s="10" t="n">
        <v>20.21</v>
      </c>
      <c r="G126" s="11" t="n">
        <v>98.5</v>
      </c>
      <c r="H126" s="4" t="n">
        <v>2242</v>
      </c>
      <c r="I126" s="8" t="n">
        <v>1</v>
      </c>
      <c r="J126" s="11" t="n">
        <v>96.8</v>
      </c>
      <c r="K126" s="4" t="n">
        <v>-2207</v>
      </c>
      <c r="L126" s="8" t="n">
        <v>2</v>
      </c>
      <c r="M126" s="11" t="n">
        <v>93.1</v>
      </c>
      <c r="N126" s="4" t="n">
        <v>2430</v>
      </c>
      <c r="O126" s="8" t="n">
        <v>1</v>
      </c>
      <c r="P126" s="4" t="n">
        <f aca="false">H126+K126+N126</f>
        <v>2465</v>
      </c>
      <c r="Q126" s="4" t="n">
        <f aca="false">Q125+P126</f>
        <v>215407</v>
      </c>
      <c r="R126" s="4" t="n">
        <f aca="false">Q126-MAX(0,MAX($Q$2:Q126))</f>
        <v>0</v>
      </c>
    </row>
    <row r="127" customFormat="false" ht="15" hidden="false" customHeight="false" outlineLevel="0" collapsed="false">
      <c r="A127" s="7" t="n">
        <v>44126</v>
      </c>
      <c r="B127" s="8" t="n">
        <f aca="false">YEAR(A127)</f>
        <v>2020</v>
      </c>
      <c r="C127" s="8" t="n">
        <f aca="false">MONTH(A127)</f>
        <v>10</v>
      </c>
      <c r="D127" s="8" t="s">
        <v>36</v>
      </c>
      <c r="E127" s="9" t="n">
        <v>11890</v>
      </c>
      <c r="F127" s="10" t="n">
        <v>22.92</v>
      </c>
      <c r="G127" s="11" t="n">
        <v>93.6</v>
      </c>
      <c r="H127" s="4" t="n">
        <v>988</v>
      </c>
      <c r="I127" s="8" t="n">
        <v>1</v>
      </c>
      <c r="J127" s="11" t="n">
        <v>91.7</v>
      </c>
      <c r="K127" s="4" t="n">
        <v>865</v>
      </c>
      <c r="L127" s="8" t="n">
        <v>1</v>
      </c>
      <c r="M127" s="11" t="n">
        <v>87.7</v>
      </c>
      <c r="N127" s="4" t="n">
        <v>2015</v>
      </c>
      <c r="O127" s="8" t="n">
        <v>1</v>
      </c>
      <c r="P127" s="4" t="n">
        <f aca="false">H127+K127+N127</f>
        <v>3868</v>
      </c>
      <c r="Q127" s="4" t="n">
        <f aca="false">Q126+P127</f>
        <v>219275</v>
      </c>
      <c r="R127" s="4" t="n">
        <f aca="false">Q127-MAX(0,MAX($Q$2:Q127))</f>
        <v>0</v>
      </c>
    </row>
    <row r="128" customFormat="false" ht="15" hidden="false" customHeight="false" outlineLevel="0" collapsed="false">
      <c r="A128" s="7" t="n">
        <v>44133</v>
      </c>
      <c r="B128" s="8" t="n">
        <f aca="false">YEAR(A128)</f>
        <v>2020</v>
      </c>
      <c r="C128" s="8" t="n">
        <f aca="false">MONTH(A128)</f>
        <v>10</v>
      </c>
      <c r="D128" s="8" t="s">
        <v>36</v>
      </c>
      <c r="E128" s="9" t="n">
        <v>11633.3</v>
      </c>
      <c r="F128" s="10" t="n">
        <v>23.28</v>
      </c>
      <c r="G128" s="11" t="n">
        <v>116.2</v>
      </c>
      <c r="H128" s="4" t="n">
        <v>2338</v>
      </c>
      <c r="I128" s="8" t="n">
        <v>1</v>
      </c>
      <c r="J128" s="11" t="n">
        <v>114.1</v>
      </c>
      <c r="K128" s="4" t="n">
        <v>2123</v>
      </c>
      <c r="L128" s="8" t="n">
        <v>1</v>
      </c>
      <c r="M128" s="11" t="n">
        <v>109.7</v>
      </c>
      <c r="N128" s="4" t="n">
        <v>-2470</v>
      </c>
      <c r="O128" s="8" t="n">
        <v>2</v>
      </c>
      <c r="P128" s="4" t="n">
        <f aca="false">H128+K128+N128</f>
        <v>1991</v>
      </c>
      <c r="Q128" s="4" t="n">
        <f aca="false">Q127+P128</f>
        <v>221266</v>
      </c>
      <c r="R128" s="4" t="n">
        <f aca="false">Q128-MAX(0,MAX($Q$2:Q128))</f>
        <v>0</v>
      </c>
    </row>
    <row r="129" customFormat="false" ht="15" hidden="false" customHeight="false" outlineLevel="0" collapsed="false">
      <c r="A129" s="7" t="n">
        <v>44140</v>
      </c>
      <c r="B129" s="8" t="n">
        <f aca="false">YEAR(A129)</f>
        <v>2020</v>
      </c>
      <c r="C129" s="8" t="n">
        <f aca="false">MONTH(A129)</f>
        <v>11</v>
      </c>
      <c r="D129" s="8" t="s">
        <v>36</v>
      </c>
      <c r="E129" s="9" t="n">
        <v>12062.4</v>
      </c>
      <c r="F129" s="10" t="n">
        <v>23.2</v>
      </c>
      <c r="G129" s="11" t="n">
        <v>103.9</v>
      </c>
      <c r="H129" s="4" t="n">
        <v>1765</v>
      </c>
      <c r="I129" s="8" t="n">
        <v>1</v>
      </c>
      <c r="J129" s="11" t="n">
        <v>102</v>
      </c>
      <c r="K129" s="4" t="n">
        <v>1770</v>
      </c>
      <c r="L129" s="8" t="n">
        <v>1</v>
      </c>
      <c r="M129" s="11" t="n">
        <v>99.1</v>
      </c>
      <c r="N129" s="4" t="n">
        <v>1501</v>
      </c>
      <c r="O129" s="8" t="n">
        <v>0</v>
      </c>
      <c r="P129" s="4" t="n">
        <f aca="false">H129+K129+N129</f>
        <v>5036</v>
      </c>
      <c r="Q129" s="4" t="n">
        <f aca="false">Q128+P129</f>
        <v>226302</v>
      </c>
      <c r="R129" s="4" t="n">
        <f aca="false">Q129-MAX(0,MAX($Q$2:Q129))</f>
        <v>0</v>
      </c>
    </row>
    <row r="130" customFormat="false" ht="15" hidden="false" customHeight="false" outlineLevel="0" collapsed="false">
      <c r="A130" s="7" t="n">
        <v>44147</v>
      </c>
      <c r="B130" s="8" t="n">
        <f aca="false">YEAR(A130)</f>
        <v>2020</v>
      </c>
      <c r="C130" s="8" t="n">
        <f aca="false">MONTH(A130)</f>
        <v>11</v>
      </c>
      <c r="D130" s="8" t="s">
        <v>36</v>
      </c>
      <c r="E130" s="9" t="n">
        <v>12702.2</v>
      </c>
      <c r="F130" s="10" t="n">
        <v>22.03</v>
      </c>
      <c r="G130" s="11" t="n">
        <v>119.1</v>
      </c>
      <c r="H130" s="4" t="n">
        <v>1747</v>
      </c>
      <c r="I130" s="8" t="n">
        <v>1</v>
      </c>
      <c r="J130" s="11" t="n">
        <v>116.5</v>
      </c>
      <c r="K130" s="4" t="n">
        <v>2349</v>
      </c>
      <c r="L130" s="8" t="n">
        <v>1</v>
      </c>
      <c r="M130" s="11" t="n">
        <v>111</v>
      </c>
      <c r="N130" s="4" t="n">
        <v>1696</v>
      </c>
      <c r="O130" s="8" t="n">
        <v>1</v>
      </c>
      <c r="P130" s="4" t="n">
        <f aca="false">H130+K130+N130</f>
        <v>5792</v>
      </c>
      <c r="Q130" s="4" t="n">
        <f aca="false">Q129+P130</f>
        <v>232094</v>
      </c>
      <c r="R130" s="4" t="n">
        <f aca="false">Q130-MAX(0,MAX($Q$2:Q130))</f>
        <v>0</v>
      </c>
    </row>
    <row r="131" customFormat="false" ht="15" hidden="false" customHeight="false" outlineLevel="0" collapsed="false">
      <c r="A131" s="7" t="n">
        <v>44154</v>
      </c>
      <c r="B131" s="8" t="n">
        <f aca="false">YEAR(A131)</f>
        <v>2020</v>
      </c>
      <c r="C131" s="8" t="n">
        <f aca="false">MONTH(A131)</f>
        <v>11</v>
      </c>
      <c r="D131" s="8" t="s">
        <v>36</v>
      </c>
      <c r="E131" s="9" t="n">
        <v>12839.5</v>
      </c>
      <c r="F131" s="10" t="n">
        <v>19.12</v>
      </c>
      <c r="G131" s="11" t="n">
        <v>79.4</v>
      </c>
      <c r="H131" s="4" t="n">
        <v>-1850</v>
      </c>
      <c r="I131" s="8" t="n">
        <v>2</v>
      </c>
      <c r="J131" s="11" t="n">
        <v>78.6</v>
      </c>
      <c r="K131" s="4" t="n">
        <v>-1833</v>
      </c>
      <c r="L131" s="8" t="n">
        <v>2</v>
      </c>
      <c r="M131" s="11" t="n">
        <v>75</v>
      </c>
      <c r="N131" s="4" t="n">
        <v>1122</v>
      </c>
      <c r="O131" s="8" t="n">
        <v>1</v>
      </c>
      <c r="P131" s="4" t="n">
        <f aca="false">H131+K131+N131</f>
        <v>-2561</v>
      </c>
      <c r="Q131" s="4" t="n">
        <f aca="false">Q130+P131</f>
        <v>229533</v>
      </c>
      <c r="R131" s="4" t="n">
        <f aca="false">Q131-MAX(0,MAX($Q$2:Q131))</f>
        <v>-2561</v>
      </c>
    </row>
    <row r="132" customFormat="false" ht="15" hidden="false" customHeight="false" outlineLevel="0" collapsed="false">
      <c r="A132" s="7" t="n">
        <v>44161</v>
      </c>
      <c r="B132" s="8" t="n">
        <f aca="false">YEAR(A132)</f>
        <v>2020</v>
      </c>
      <c r="C132" s="8" t="n">
        <f aca="false">MONTH(A132)</f>
        <v>11</v>
      </c>
      <c r="D132" s="8" t="s">
        <v>36</v>
      </c>
      <c r="E132" s="9" t="n">
        <v>12906.4</v>
      </c>
      <c r="F132" s="10" t="n">
        <v>23.13</v>
      </c>
      <c r="G132" s="11" t="n">
        <v>108.8</v>
      </c>
      <c r="H132" s="4" t="n">
        <v>-2451</v>
      </c>
      <c r="I132" s="8" t="n">
        <v>2</v>
      </c>
      <c r="J132" s="11" t="n">
        <v>106.7</v>
      </c>
      <c r="K132" s="4" t="n">
        <v>-2408</v>
      </c>
      <c r="L132" s="8" t="n">
        <v>2</v>
      </c>
      <c r="M132" s="11" t="n">
        <v>103</v>
      </c>
      <c r="N132" s="4" t="n">
        <v>2979</v>
      </c>
      <c r="O132" s="8" t="n">
        <v>1</v>
      </c>
      <c r="P132" s="4" t="n">
        <f aca="false">H132+K132+N132</f>
        <v>-1880</v>
      </c>
      <c r="Q132" s="4" t="n">
        <f aca="false">Q131+P132</f>
        <v>227653</v>
      </c>
      <c r="R132" s="4" t="n">
        <f aca="false">Q132-MAX(0,MAX($Q$2:Q132))</f>
        <v>-4441</v>
      </c>
    </row>
    <row r="133" customFormat="false" ht="15" hidden="false" customHeight="false" outlineLevel="0" collapsed="false">
      <c r="A133" s="7" t="n">
        <v>44168</v>
      </c>
      <c r="B133" s="8" t="n">
        <f aca="false">YEAR(A133)</f>
        <v>2020</v>
      </c>
      <c r="C133" s="8" t="n">
        <f aca="false">MONTH(A133)</f>
        <v>12</v>
      </c>
      <c r="D133" s="8" t="s">
        <v>36</v>
      </c>
      <c r="E133" s="9" t="n">
        <v>13215.3</v>
      </c>
      <c r="F133" s="10" t="n">
        <v>19.91</v>
      </c>
      <c r="G133" s="11" t="n">
        <v>74.2</v>
      </c>
      <c r="H133" s="4" t="n">
        <v>1983</v>
      </c>
      <c r="I133" s="8" t="n">
        <v>1</v>
      </c>
      <c r="J133" s="11" t="n">
        <v>72.7</v>
      </c>
      <c r="K133" s="4" t="n">
        <v>1876</v>
      </c>
      <c r="L133" s="8" t="n">
        <v>1</v>
      </c>
      <c r="M133" s="11" t="n">
        <v>69.3</v>
      </c>
      <c r="N133" s="4" t="n">
        <v>-1644</v>
      </c>
      <c r="O133" s="8" t="n">
        <v>2</v>
      </c>
      <c r="P133" s="4" t="n">
        <f aca="false">H133+K133+N133</f>
        <v>2215</v>
      </c>
      <c r="Q133" s="4" t="n">
        <f aca="false">Q132+P133</f>
        <v>229868</v>
      </c>
      <c r="R133" s="4" t="n">
        <f aca="false">Q133-MAX(0,MAX($Q$2:Q133))</f>
        <v>-2226</v>
      </c>
    </row>
    <row r="134" customFormat="false" ht="15" hidden="false" customHeight="false" outlineLevel="0" collapsed="false">
      <c r="A134" s="7" t="n">
        <v>44175</v>
      </c>
      <c r="B134" s="8" t="n">
        <f aca="false">YEAR(A134)</f>
        <v>2020</v>
      </c>
      <c r="C134" s="8" t="n">
        <f aca="false">MONTH(A134)</f>
        <v>12</v>
      </c>
      <c r="D134" s="8" t="s">
        <v>36</v>
      </c>
      <c r="E134" s="9" t="n">
        <v>13488.5</v>
      </c>
      <c r="F134" s="10" t="n">
        <v>18.92</v>
      </c>
      <c r="G134" s="11" t="n">
        <v>94</v>
      </c>
      <c r="H134" s="4" t="n">
        <v>1011</v>
      </c>
      <c r="I134" s="8" t="n">
        <v>1</v>
      </c>
      <c r="J134" s="11" t="n">
        <v>91</v>
      </c>
      <c r="K134" s="4" t="n">
        <v>386</v>
      </c>
      <c r="L134" s="8" t="n">
        <v>1</v>
      </c>
      <c r="M134" s="11" t="n">
        <v>87.5</v>
      </c>
      <c r="N134" s="4" t="n">
        <v>1101</v>
      </c>
      <c r="O134" s="8" t="n">
        <v>1</v>
      </c>
      <c r="P134" s="4" t="n">
        <f aca="false">H134+K134+N134</f>
        <v>2498</v>
      </c>
      <c r="Q134" s="4" t="n">
        <f aca="false">Q133+P134</f>
        <v>232366</v>
      </c>
      <c r="R134" s="4" t="n">
        <f aca="false">Q134-MAX(0,MAX($Q$2:Q134))</f>
        <v>0</v>
      </c>
    </row>
    <row r="135" customFormat="false" ht="15" hidden="false" customHeight="false" outlineLevel="0" collapsed="false">
      <c r="A135" s="7" t="n">
        <v>44182</v>
      </c>
      <c r="B135" s="8" t="n">
        <f aca="false">YEAR(A135)</f>
        <v>2020</v>
      </c>
      <c r="C135" s="8" t="n">
        <f aca="false">MONTH(A135)</f>
        <v>12</v>
      </c>
      <c r="D135" s="8" t="s">
        <v>36</v>
      </c>
      <c r="E135" s="9" t="n">
        <v>13713.6</v>
      </c>
      <c r="F135" s="10" t="n">
        <v>19.2</v>
      </c>
      <c r="G135" s="11" t="n">
        <v>100.3</v>
      </c>
      <c r="H135" s="4" t="n">
        <v>1798</v>
      </c>
      <c r="I135" s="8" t="n">
        <v>1</v>
      </c>
      <c r="J135" s="11" t="n">
        <v>98.5</v>
      </c>
      <c r="K135" s="4" t="n">
        <v>1848</v>
      </c>
      <c r="L135" s="8" t="n">
        <v>1</v>
      </c>
      <c r="M135" s="11" t="n">
        <v>95.6</v>
      </c>
      <c r="N135" s="4" t="n">
        <v>1020</v>
      </c>
      <c r="O135" s="8" t="n">
        <v>1</v>
      </c>
      <c r="P135" s="4" t="n">
        <f aca="false">H135+K135+N135</f>
        <v>4666</v>
      </c>
      <c r="Q135" s="4" t="n">
        <f aca="false">Q134+P135</f>
        <v>237032</v>
      </c>
      <c r="R135" s="4" t="n">
        <f aca="false">Q135-MAX(0,MAX($Q$2:Q135))</f>
        <v>0</v>
      </c>
    </row>
    <row r="136" customFormat="false" ht="15" hidden="false" customHeight="false" outlineLevel="0" collapsed="false">
      <c r="A136" s="7" t="n">
        <v>44189</v>
      </c>
      <c r="B136" s="8" t="n">
        <f aca="false">YEAR(A136)</f>
        <v>2020</v>
      </c>
      <c r="C136" s="8" t="n">
        <f aca="false">MONTH(A136)</f>
        <v>12</v>
      </c>
      <c r="D136" s="8" t="s">
        <v>36</v>
      </c>
      <c r="E136" s="9" t="n">
        <v>13672.2</v>
      </c>
      <c r="F136" s="10" t="n">
        <v>20.5</v>
      </c>
      <c r="G136" s="11" t="n">
        <v>67.8</v>
      </c>
      <c r="H136" s="4" t="n">
        <v>-1611</v>
      </c>
      <c r="I136" s="8" t="n">
        <v>2</v>
      </c>
      <c r="J136" s="11" t="n">
        <v>66.3</v>
      </c>
      <c r="K136" s="4" t="n">
        <v>-1582</v>
      </c>
      <c r="L136" s="8" t="n">
        <v>2</v>
      </c>
      <c r="M136" s="11" t="n">
        <v>64.6</v>
      </c>
      <c r="N136" s="4" t="n">
        <v>-1547</v>
      </c>
      <c r="O136" s="8" t="n">
        <v>2</v>
      </c>
      <c r="P136" s="4" t="n">
        <f aca="false">H136+K136+N136</f>
        <v>-4740</v>
      </c>
      <c r="Q136" s="4" t="n">
        <f aca="false">Q135+P136</f>
        <v>232292</v>
      </c>
      <c r="R136" s="4" t="n">
        <f aca="false">Q136-MAX(0,MAX($Q$2:Q136))</f>
        <v>-4740</v>
      </c>
    </row>
    <row r="137" customFormat="false" ht="15" hidden="false" customHeight="false" outlineLevel="0" collapsed="false">
      <c r="A137" s="7" t="n">
        <v>44196</v>
      </c>
      <c r="B137" s="8" t="n">
        <f aca="false">YEAR(A137)</f>
        <v>2020</v>
      </c>
      <c r="C137" s="8" t="n">
        <f aca="false">MONTH(A137)</f>
        <v>12</v>
      </c>
      <c r="D137" s="8" t="s">
        <v>36</v>
      </c>
      <c r="E137" s="9" t="n">
        <v>13970</v>
      </c>
      <c r="F137" s="10" t="n">
        <v>21.11</v>
      </c>
      <c r="G137" s="11" t="n">
        <v>102.3</v>
      </c>
      <c r="H137" s="4" t="n">
        <v>4895</v>
      </c>
      <c r="I137" s="8" t="n">
        <v>0</v>
      </c>
      <c r="J137" s="11" t="n">
        <v>100.5</v>
      </c>
      <c r="K137" s="4" t="n">
        <v>4778</v>
      </c>
      <c r="L137" s="8" t="n">
        <v>0</v>
      </c>
      <c r="M137" s="11" t="n">
        <v>95.9</v>
      </c>
      <c r="N137" s="4" t="n">
        <v>4480</v>
      </c>
      <c r="O137" s="8" t="n">
        <v>0</v>
      </c>
      <c r="P137" s="4" t="n">
        <f aca="false">H137+K137+N137</f>
        <v>14153</v>
      </c>
      <c r="Q137" s="4" t="n">
        <f aca="false">Q136+P137</f>
        <v>246445</v>
      </c>
      <c r="R137" s="4" t="n">
        <f aca="false">Q137-MAX(0,MAX($Q$2:Q137))</f>
        <v>0</v>
      </c>
    </row>
    <row r="138" customFormat="false" ht="15" hidden="false" customHeight="false" outlineLevel="0" collapsed="false">
      <c r="A138" s="7" t="n">
        <v>44203</v>
      </c>
      <c r="B138" s="8" t="n">
        <f aca="false">YEAR(A138)</f>
        <v>2021</v>
      </c>
      <c r="C138" s="8" t="n">
        <f aca="false">MONTH(A138)</f>
        <v>1</v>
      </c>
      <c r="D138" s="8" t="s">
        <v>36</v>
      </c>
      <c r="E138" s="9" t="n">
        <v>14253.8</v>
      </c>
      <c r="F138" s="10" t="n">
        <v>21</v>
      </c>
      <c r="G138" s="11" t="n">
        <v>106</v>
      </c>
      <c r="H138" s="4" t="n">
        <v>1335</v>
      </c>
      <c r="I138" s="8" t="n">
        <v>1</v>
      </c>
      <c r="J138" s="11" t="n">
        <v>104.2</v>
      </c>
      <c r="K138" s="4" t="n">
        <v>2977</v>
      </c>
      <c r="L138" s="8" t="n">
        <v>1</v>
      </c>
      <c r="M138" s="11" t="n">
        <v>98.8</v>
      </c>
      <c r="N138" s="4" t="n">
        <v>2425</v>
      </c>
      <c r="O138" s="8" t="n">
        <v>1</v>
      </c>
      <c r="P138" s="4" t="n">
        <f aca="false">H138+K138+N138</f>
        <v>6737</v>
      </c>
      <c r="Q138" s="4" t="n">
        <f aca="false">Q137+P138</f>
        <v>253182</v>
      </c>
      <c r="R138" s="4" t="n">
        <f aca="false">Q138-MAX(0,MAX($Q$2:Q138))</f>
        <v>0</v>
      </c>
    </row>
    <row r="139" customFormat="false" ht="15" hidden="false" customHeight="false" outlineLevel="0" collapsed="false">
      <c r="A139" s="7" t="n">
        <v>44210</v>
      </c>
      <c r="B139" s="8" t="n">
        <f aca="false">YEAR(A139)</f>
        <v>2021</v>
      </c>
      <c r="C139" s="8" t="n">
        <f aca="false">MONTH(A139)</f>
        <v>1</v>
      </c>
      <c r="D139" s="8" t="s">
        <v>36</v>
      </c>
      <c r="E139" s="9" t="n">
        <v>14550</v>
      </c>
      <c r="F139" s="10" t="n">
        <v>23.29</v>
      </c>
      <c r="G139" s="11" t="n">
        <v>92.8</v>
      </c>
      <c r="H139" s="4" t="n">
        <v>-2124</v>
      </c>
      <c r="I139" s="8" t="n">
        <v>2</v>
      </c>
      <c r="J139" s="11" t="n">
        <v>92.8</v>
      </c>
      <c r="K139" s="4" t="n">
        <v>-2124</v>
      </c>
      <c r="L139" s="8" t="n">
        <v>2</v>
      </c>
      <c r="M139" s="11" t="n">
        <v>88.7</v>
      </c>
      <c r="N139" s="4" t="n">
        <v>795</v>
      </c>
      <c r="O139" s="8" t="n">
        <v>1</v>
      </c>
      <c r="P139" s="4" t="n">
        <f aca="false">H139+K139+N139</f>
        <v>-3453</v>
      </c>
      <c r="Q139" s="4" t="n">
        <f aca="false">Q138+P139</f>
        <v>249729</v>
      </c>
      <c r="R139" s="4" t="n">
        <f aca="false">Q139-MAX(0,MAX($Q$2:Q139))</f>
        <v>-3453</v>
      </c>
    </row>
    <row r="140" customFormat="false" ht="15" hidden="false" customHeight="false" outlineLevel="0" collapsed="false">
      <c r="A140" s="7" t="n">
        <v>44217</v>
      </c>
      <c r="B140" s="8" t="n">
        <f aca="false">YEAR(A140)</f>
        <v>2021</v>
      </c>
      <c r="C140" s="8" t="n">
        <f aca="false">MONTH(A140)</f>
        <v>1</v>
      </c>
      <c r="D140" s="8" t="s">
        <v>36</v>
      </c>
      <c r="E140" s="9" t="n">
        <v>14731</v>
      </c>
      <c r="F140" s="10" t="n">
        <v>21.55</v>
      </c>
      <c r="G140" s="11" t="n">
        <v>74.5</v>
      </c>
      <c r="H140" s="4" t="n">
        <v>731</v>
      </c>
      <c r="I140" s="8" t="n">
        <v>1</v>
      </c>
      <c r="J140" s="11" t="n">
        <v>73.5</v>
      </c>
      <c r="K140" s="4" t="n">
        <v>626</v>
      </c>
      <c r="L140" s="8" t="n">
        <v>1</v>
      </c>
      <c r="M140" s="11" t="n">
        <v>72.1</v>
      </c>
      <c r="N140" s="4" t="n">
        <v>2523</v>
      </c>
      <c r="O140" s="8" t="n">
        <v>1</v>
      </c>
      <c r="P140" s="4" t="n">
        <f aca="false">H140+K140+N140</f>
        <v>3880</v>
      </c>
      <c r="Q140" s="4" t="n">
        <f aca="false">Q139+P140</f>
        <v>253609</v>
      </c>
      <c r="R140" s="4" t="n">
        <f aca="false">Q140-MAX(0,MAX($Q$2:Q140))</f>
        <v>0</v>
      </c>
    </row>
    <row r="141" customFormat="false" ht="15" hidden="false" customHeight="false" outlineLevel="0" collapsed="false">
      <c r="A141" s="7" t="n">
        <v>44224</v>
      </c>
      <c r="B141" s="8" t="n">
        <f aca="false">YEAR(A141)</f>
        <v>2021</v>
      </c>
      <c r="C141" s="8" t="n">
        <f aca="false">MONTH(A141)</f>
        <v>1</v>
      </c>
      <c r="D141" s="8" t="s">
        <v>36</v>
      </c>
      <c r="E141" s="9" t="n">
        <v>13810.4</v>
      </c>
      <c r="F141" s="10" t="n">
        <v>24.39</v>
      </c>
      <c r="G141" s="11" t="n">
        <v>114.4</v>
      </c>
      <c r="H141" s="4" t="n">
        <v>-2566</v>
      </c>
      <c r="I141" s="8" t="n">
        <v>2</v>
      </c>
      <c r="J141" s="11" t="n">
        <v>112.8</v>
      </c>
      <c r="K141" s="4" t="n">
        <v>-2533</v>
      </c>
      <c r="L141" s="8" t="n">
        <v>2</v>
      </c>
      <c r="M141" s="11" t="n">
        <v>108.8</v>
      </c>
      <c r="N141" s="4" t="n">
        <v>2969</v>
      </c>
      <c r="O141" s="8" t="n">
        <v>1</v>
      </c>
      <c r="P141" s="4" t="n">
        <f aca="false">H141+K141+N141</f>
        <v>-2130</v>
      </c>
      <c r="Q141" s="4" t="n">
        <f aca="false">Q140+P141</f>
        <v>251479</v>
      </c>
      <c r="R141" s="4" t="n">
        <f aca="false">Q141-MAX(0,MAX($Q$2:Q141))</f>
        <v>-2130</v>
      </c>
    </row>
    <row r="142" customFormat="false" ht="15" hidden="false" customHeight="false" outlineLevel="0" collapsed="false">
      <c r="A142" s="7" t="n">
        <v>44231</v>
      </c>
      <c r="B142" s="8" t="n">
        <f aca="false">YEAR(A142)</f>
        <v>2021</v>
      </c>
      <c r="C142" s="8" t="n">
        <f aca="false">MONTH(A142)</f>
        <v>2</v>
      </c>
      <c r="D142" s="8" t="s">
        <v>36</v>
      </c>
      <c r="E142" s="9" t="n">
        <v>14789</v>
      </c>
      <c r="F142" s="10" t="n">
        <v>23.75</v>
      </c>
      <c r="G142" s="11" t="n">
        <v>117.1</v>
      </c>
      <c r="H142" s="4" t="n">
        <v>-2622</v>
      </c>
      <c r="I142" s="8" t="n">
        <v>2</v>
      </c>
      <c r="J142" s="11" t="n">
        <v>114.8</v>
      </c>
      <c r="K142" s="4" t="n">
        <v>3223</v>
      </c>
      <c r="L142" s="8" t="n">
        <v>1</v>
      </c>
      <c r="M142" s="11" t="n">
        <v>109.1</v>
      </c>
      <c r="N142" s="4" t="n">
        <v>2684</v>
      </c>
      <c r="O142" s="8" t="n">
        <v>1</v>
      </c>
      <c r="P142" s="4" t="n">
        <f aca="false">H142+K142+N142</f>
        <v>3285</v>
      </c>
      <c r="Q142" s="4" t="n">
        <f aca="false">Q141+P142</f>
        <v>254764</v>
      </c>
      <c r="R142" s="4" t="n">
        <f aca="false">Q142-MAX(0,MAX($Q$2:Q142))</f>
        <v>0</v>
      </c>
    </row>
    <row r="143" customFormat="false" ht="15" hidden="false" customHeight="false" outlineLevel="0" collapsed="false">
      <c r="A143" s="7" t="n">
        <v>44238</v>
      </c>
      <c r="B143" s="8" t="n">
        <f aca="false">YEAR(A143)</f>
        <v>2021</v>
      </c>
      <c r="C143" s="8" t="n">
        <f aca="false">MONTH(A143)</f>
        <v>2</v>
      </c>
      <c r="D143" s="8" t="s">
        <v>36</v>
      </c>
      <c r="E143" s="9" t="n">
        <v>15073.2</v>
      </c>
      <c r="F143" s="10" t="n">
        <v>23.95</v>
      </c>
      <c r="G143" s="11" t="n">
        <v>136.7</v>
      </c>
      <c r="H143" s="4" t="n">
        <v>2240</v>
      </c>
      <c r="I143" s="8" t="n">
        <v>1</v>
      </c>
      <c r="J143" s="11" t="n">
        <v>134.3</v>
      </c>
      <c r="K143" s="4" t="n">
        <v>2225</v>
      </c>
      <c r="L143" s="8" t="n">
        <v>1</v>
      </c>
      <c r="M143" s="11" t="n">
        <v>128.5</v>
      </c>
      <c r="N143" s="4" t="n">
        <v>5941</v>
      </c>
      <c r="O143" s="8" t="n">
        <v>0</v>
      </c>
      <c r="P143" s="4" t="n">
        <f aca="false">H143+K143+N143</f>
        <v>10406</v>
      </c>
      <c r="Q143" s="4" t="n">
        <f aca="false">Q142+P143</f>
        <v>265170</v>
      </c>
      <c r="R143" s="4" t="n">
        <f aca="false">Q143-MAX(0,MAX($Q$2:Q143))</f>
        <v>0</v>
      </c>
    </row>
    <row r="144" customFormat="false" ht="15" hidden="false" customHeight="false" outlineLevel="0" collapsed="false">
      <c r="A144" s="7" t="n">
        <v>44245</v>
      </c>
      <c r="B144" s="8" t="n">
        <f aca="false">YEAR(A144)</f>
        <v>2021</v>
      </c>
      <c r="C144" s="8" t="n">
        <f aca="false">MONTH(A144)</f>
        <v>2</v>
      </c>
      <c r="D144" s="8" t="s">
        <v>36</v>
      </c>
      <c r="E144" s="9" t="n">
        <v>15238.7</v>
      </c>
      <c r="F144" s="10" t="n">
        <v>21.78</v>
      </c>
      <c r="G144" s="11" t="n">
        <v>92.7</v>
      </c>
      <c r="H144" s="4" t="n">
        <v>1247</v>
      </c>
      <c r="I144" s="8" t="n">
        <v>1</v>
      </c>
      <c r="J144" s="11" t="n">
        <v>91</v>
      </c>
      <c r="K144" s="4" t="n">
        <v>1236</v>
      </c>
      <c r="L144" s="8" t="n">
        <v>1</v>
      </c>
      <c r="M144" s="11" t="n">
        <v>87.5</v>
      </c>
      <c r="N144" s="4" t="n">
        <v>1012</v>
      </c>
      <c r="O144" s="8" t="n">
        <v>1</v>
      </c>
      <c r="P144" s="4" t="n">
        <f aca="false">H144+K144+N144</f>
        <v>3495</v>
      </c>
      <c r="Q144" s="4" t="n">
        <f aca="false">Q143+P144</f>
        <v>268665</v>
      </c>
      <c r="R144" s="4" t="n">
        <f aca="false">Q144-MAX(0,MAX($Q$2:Q144))</f>
        <v>0</v>
      </c>
    </row>
    <row r="145" customFormat="false" ht="15" hidden="false" customHeight="false" outlineLevel="0" collapsed="false">
      <c r="A145" s="7" t="n">
        <v>44252</v>
      </c>
      <c r="B145" s="8" t="n">
        <f aca="false">YEAR(A145)</f>
        <v>2021</v>
      </c>
      <c r="C145" s="8" t="n">
        <f aca="false">MONTH(A145)</f>
        <v>2</v>
      </c>
      <c r="D145" s="8" t="s">
        <v>36</v>
      </c>
      <c r="E145" s="9" t="n">
        <v>15079.8</v>
      </c>
      <c r="F145" s="10" t="n">
        <v>24.17</v>
      </c>
      <c r="G145" s="11" t="n">
        <v>100.4</v>
      </c>
      <c r="H145" s="4" t="n">
        <v>2294</v>
      </c>
      <c r="I145" s="8" t="n">
        <v>1</v>
      </c>
      <c r="J145" s="11" t="n">
        <v>99.2</v>
      </c>
      <c r="K145" s="4" t="n">
        <v>2585</v>
      </c>
      <c r="L145" s="8" t="n">
        <v>1</v>
      </c>
      <c r="M145" s="11" t="n">
        <v>94.3</v>
      </c>
      <c r="N145" s="4" t="n">
        <v>1676</v>
      </c>
      <c r="O145" s="8" t="n">
        <v>1</v>
      </c>
      <c r="P145" s="4" t="n">
        <f aca="false">H145+K145+N145</f>
        <v>6555</v>
      </c>
      <c r="Q145" s="4" t="n">
        <f aca="false">Q144+P145</f>
        <v>275220</v>
      </c>
      <c r="R145" s="4" t="n">
        <f aca="false">Q145-MAX(0,MAX($Q$2:Q145))</f>
        <v>0</v>
      </c>
    </row>
    <row r="146" customFormat="false" ht="15" hidden="false" customHeight="false" outlineLevel="0" collapsed="false">
      <c r="A146" s="7" t="n">
        <v>44259</v>
      </c>
      <c r="B146" s="8" t="n">
        <f aca="false">YEAR(A146)</f>
        <v>2021</v>
      </c>
      <c r="C146" s="8" t="n">
        <f aca="false">MONTH(A146)</f>
        <v>3</v>
      </c>
      <c r="D146" s="8" t="s">
        <v>36</v>
      </c>
      <c r="E146" s="9" t="n">
        <v>15026.8</v>
      </c>
      <c r="F146" s="10" t="n">
        <v>22.09</v>
      </c>
      <c r="G146" s="11" t="n">
        <v>143</v>
      </c>
      <c r="H146" s="4" t="n">
        <v>-3151</v>
      </c>
      <c r="I146" s="8" t="n">
        <v>2</v>
      </c>
      <c r="J146" s="11" t="n">
        <v>139.4</v>
      </c>
      <c r="K146" s="4" t="n">
        <v>-3079</v>
      </c>
      <c r="L146" s="8" t="n">
        <v>2</v>
      </c>
      <c r="M146" s="11" t="n">
        <v>133.6</v>
      </c>
      <c r="N146" s="4" t="n">
        <v>2946</v>
      </c>
      <c r="O146" s="8" t="n">
        <v>1</v>
      </c>
      <c r="P146" s="4" t="n">
        <f aca="false">H146+K146+N146</f>
        <v>-3284</v>
      </c>
      <c r="Q146" s="4" t="n">
        <f aca="false">Q145+P146</f>
        <v>271936</v>
      </c>
      <c r="R146" s="4" t="n">
        <f aca="false">Q146-MAX(0,MAX($Q$2:Q146))</f>
        <v>-3284</v>
      </c>
    </row>
    <row r="147" customFormat="false" ht="15" hidden="false" customHeight="false" outlineLevel="0" collapsed="false">
      <c r="A147" s="7" t="n">
        <v>44265</v>
      </c>
      <c r="B147" s="8" t="n">
        <f aca="false">YEAR(A147)</f>
        <v>2021</v>
      </c>
      <c r="C147" s="8" t="n">
        <f aca="false">MONTH(A147)</f>
        <v>3</v>
      </c>
      <c r="D147" s="8" t="s">
        <v>37</v>
      </c>
      <c r="E147" s="9" t="n">
        <v>15202.2</v>
      </c>
      <c r="F147" s="10" t="n">
        <v>22.5</v>
      </c>
      <c r="G147" s="11" t="n">
        <v>99.1</v>
      </c>
      <c r="H147" s="4" t="n">
        <v>2077</v>
      </c>
      <c r="I147" s="8" t="n">
        <v>1</v>
      </c>
      <c r="J147" s="11" t="n">
        <v>98.4</v>
      </c>
      <c r="K147" s="4" t="n">
        <v>-2239</v>
      </c>
      <c r="L147" s="8" t="n">
        <v>2</v>
      </c>
      <c r="M147" s="11" t="n">
        <v>93.2</v>
      </c>
      <c r="N147" s="4" t="n">
        <v>1330</v>
      </c>
      <c r="O147" s="8" t="n">
        <v>1</v>
      </c>
      <c r="P147" s="4" t="n">
        <f aca="false">H147+K147+N147</f>
        <v>1168</v>
      </c>
      <c r="Q147" s="4" t="n">
        <f aca="false">Q146+P147</f>
        <v>273104</v>
      </c>
      <c r="R147" s="4" t="n">
        <f aca="false">Q147-MAX(0,MAX($Q$2:Q147))</f>
        <v>-2116</v>
      </c>
    </row>
    <row r="148" customFormat="false" ht="15" hidden="false" customHeight="false" outlineLevel="0" collapsed="false">
      <c r="A148" s="7" t="n">
        <v>44273</v>
      </c>
      <c r="B148" s="8" t="n">
        <f aca="false">YEAR(A148)</f>
        <v>2021</v>
      </c>
      <c r="C148" s="8" t="n">
        <f aca="false">MONTH(A148)</f>
        <v>3</v>
      </c>
      <c r="D148" s="8" t="s">
        <v>36</v>
      </c>
      <c r="E148" s="9" t="n">
        <v>14855.5</v>
      </c>
      <c r="F148" s="10" t="n">
        <v>20.16</v>
      </c>
      <c r="G148" s="11" t="n">
        <v>125.4</v>
      </c>
      <c r="H148" s="4" t="n">
        <v>2714</v>
      </c>
      <c r="I148" s="8" t="n">
        <v>1</v>
      </c>
      <c r="J148" s="11" t="n">
        <v>123.1</v>
      </c>
      <c r="K148" s="4" t="n">
        <v>2361</v>
      </c>
      <c r="L148" s="8" t="n">
        <v>1</v>
      </c>
      <c r="M148" s="11" t="n">
        <v>118.7</v>
      </c>
      <c r="N148" s="4" t="n">
        <v>1585</v>
      </c>
      <c r="O148" s="8" t="n">
        <v>1</v>
      </c>
      <c r="P148" s="4" t="n">
        <f aca="false">H148+K148+N148</f>
        <v>6660</v>
      </c>
      <c r="Q148" s="4" t="n">
        <f aca="false">Q147+P148</f>
        <v>279764</v>
      </c>
      <c r="R148" s="4" t="n">
        <f aca="false">Q148-MAX(0,MAX($Q$2:Q148))</f>
        <v>0</v>
      </c>
    </row>
    <row r="149" customFormat="false" ht="15" hidden="false" customHeight="false" outlineLevel="0" collapsed="false">
      <c r="A149" s="7" t="n">
        <v>44280</v>
      </c>
      <c r="B149" s="8" t="n">
        <f aca="false">YEAR(A149)</f>
        <v>2021</v>
      </c>
      <c r="C149" s="8" t="n">
        <f aca="false">MONTH(A149)</f>
        <v>3</v>
      </c>
      <c r="D149" s="8" t="s">
        <v>36</v>
      </c>
      <c r="E149" s="9" t="n">
        <v>14570.9</v>
      </c>
      <c r="F149" s="10" t="n">
        <v>22.46</v>
      </c>
      <c r="G149" s="11" t="n">
        <v>119</v>
      </c>
      <c r="H149" s="4" t="n">
        <v>3187</v>
      </c>
      <c r="I149" s="8" t="n">
        <v>1</v>
      </c>
      <c r="J149" s="11" t="n">
        <v>116.3</v>
      </c>
      <c r="K149" s="4" t="n">
        <v>1891</v>
      </c>
      <c r="L149" s="8" t="n">
        <v>1</v>
      </c>
      <c r="M149" s="11" t="n">
        <v>111.2</v>
      </c>
      <c r="N149" s="4" t="n">
        <v>1880</v>
      </c>
      <c r="O149" s="8" t="n">
        <v>1</v>
      </c>
      <c r="P149" s="4" t="n">
        <f aca="false">H149+K149+N149</f>
        <v>6958</v>
      </c>
      <c r="Q149" s="4" t="n">
        <f aca="false">Q148+P149</f>
        <v>286722</v>
      </c>
      <c r="R149" s="4" t="n">
        <f aca="false">Q149-MAX(0,MAX($Q$2:Q149))</f>
        <v>0</v>
      </c>
    </row>
    <row r="150" customFormat="false" ht="15" hidden="false" customHeight="false" outlineLevel="0" collapsed="false">
      <c r="A150" s="7" t="n">
        <v>44287</v>
      </c>
      <c r="B150" s="8" t="n">
        <f aca="false">YEAR(A150)</f>
        <v>2021</v>
      </c>
      <c r="C150" s="8" t="n">
        <f aca="false">MONTH(A150)</f>
        <v>4</v>
      </c>
      <c r="D150" s="8" t="s">
        <v>36</v>
      </c>
      <c r="E150" s="9" t="n">
        <v>14798.4</v>
      </c>
      <c r="F150" s="10" t="n">
        <v>20.65</v>
      </c>
      <c r="G150" s="11" t="n">
        <v>113.2</v>
      </c>
      <c r="H150" s="4" t="n">
        <v>-2202</v>
      </c>
      <c r="I150" s="8" t="n">
        <v>1</v>
      </c>
      <c r="J150" s="11" t="n">
        <v>111.5</v>
      </c>
      <c r="K150" s="4" t="n">
        <v>-2506</v>
      </c>
      <c r="L150" s="8" t="n">
        <v>2</v>
      </c>
      <c r="M150" s="11" t="n">
        <v>107.2</v>
      </c>
      <c r="N150" s="4" t="n">
        <v>-2419</v>
      </c>
      <c r="O150" s="8" t="n">
        <v>2</v>
      </c>
      <c r="P150" s="4" t="n">
        <f aca="false">H150+K150+N150</f>
        <v>-7127</v>
      </c>
      <c r="Q150" s="4" t="n">
        <f aca="false">Q149+P150</f>
        <v>279595</v>
      </c>
      <c r="R150" s="4" t="n">
        <f aca="false">Q150-MAX(0,MAX($Q$2:Q150))</f>
        <v>-7127</v>
      </c>
    </row>
    <row r="151" customFormat="false" ht="15" hidden="false" customHeight="false" outlineLevel="0" collapsed="false">
      <c r="A151" s="7" t="n">
        <v>44294</v>
      </c>
      <c r="B151" s="8" t="n">
        <f aca="false">YEAR(A151)</f>
        <v>2021</v>
      </c>
      <c r="C151" s="8" t="n">
        <f aca="false">MONTH(A151)</f>
        <v>4</v>
      </c>
      <c r="D151" s="8" t="s">
        <v>36</v>
      </c>
      <c r="E151" s="9" t="n">
        <v>14875.6</v>
      </c>
      <c r="F151" s="10" t="n">
        <v>20.25</v>
      </c>
      <c r="G151" s="11" t="n">
        <v>103.9</v>
      </c>
      <c r="H151" s="4" t="n">
        <v>1420</v>
      </c>
      <c r="I151" s="8" t="n">
        <v>1</v>
      </c>
      <c r="J151" s="11" t="n">
        <v>102.2</v>
      </c>
      <c r="K151" s="4" t="n">
        <v>1330</v>
      </c>
      <c r="L151" s="8" t="n">
        <v>1</v>
      </c>
      <c r="M151" s="11" t="n">
        <v>97.4</v>
      </c>
      <c r="N151" s="4" t="n">
        <v>1490</v>
      </c>
      <c r="O151" s="8" t="n">
        <v>1</v>
      </c>
      <c r="P151" s="4" t="n">
        <f aca="false">H151+K151+N151</f>
        <v>4240</v>
      </c>
      <c r="Q151" s="4" t="n">
        <f aca="false">Q150+P151</f>
        <v>283835</v>
      </c>
      <c r="R151" s="4" t="n">
        <f aca="false">Q151-MAX(0,MAX($Q$2:Q151))</f>
        <v>-2887</v>
      </c>
    </row>
    <row r="152" customFormat="false" ht="15" hidden="false" customHeight="false" outlineLevel="0" collapsed="false">
      <c r="A152" s="7" t="n">
        <v>44301</v>
      </c>
      <c r="B152" s="8" t="n">
        <f aca="false">YEAR(A152)</f>
        <v>2021</v>
      </c>
      <c r="C152" s="8" t="n">
        <f aca="false">MONTH(A152)</f>
        <v>4</v>
      </c>
      <c r="D152" s="8" t="s">
        <v>36</v>
      </c>
      <c r="E152" s="9" t="n">
        <v>14522.4</v>
      </c>
      <c r="F152" s="10" t="n">
        <v>20.46</v>
      </c>
      <c r="G152" s="11" t="n">
        <v>125.5</v>
      </c>
      <c r="H152" s="4" t="n">
        <v>195</v>
      </c>
      <c r="I152" s="8" t="n">
        <v>1</v>
      </c>
      <c r="J152" s="11" t="n">
        <v>123.8</v>
      </c>
      <c r="K152" s="4" t="n">
        <v>-2367</v>
      </c>
      <c r="L152" s="8" t="n">
        <v>1</v>
      </c>
      <c r="M152" s="11" t="n">
        <v>118</v>
      </c>
      <c r="N152" s="4" t="n">
        <v>-2639</v>
      </c>
      <c r="O152" s="8" t="n">
        <v>2</v>
      </c>
      <c r="P152" s="4" t="n">
        <f aca="false">H152+K152+N152</f>
        <v>-4811</v>
      </c>
      <c r="Q152" s="4" t="n">
        <f aca="false">Q151+P152</f>
        <v>279024</v>
      </c>
      <c r="R152" s="4" t="n">
        <f aca="false">Q152-MAX(0,MAX($Q$2:Q152))</f>
        <v>-7698</v>
      </c>
    </row>
    <row r="153" customFormat="false" ht="15" hidden="false" customHeight="false" outlineLevel="0" collapsed="false">
      <c r="A153" s="7" t="n">
        <v>44308</v>
      </c>
      <c r="B153" s="8" t="n">
        <f aca="false">YEAR(A153)</f>
        <v>2021</v>
      </c>
      <c r="C153" s="8" t="n">
        <f aca="false">MONTH(A153)</f>
        <v>4</v>
      </c>
      <c r="D153" s="8" t="s">
        <v>36</v>
      </c>
      <c r="E153" s="9" t="n">
        <v>14219.2</v>
      </c>
      <c r="F153" s="10" t="n">
        <v>22.43</v>
      </c>
      <c r="G153" s="11" t="n">
        <v>142.4</v>
      </c>
      <c r="H153" s="4" t="n">
        <v>2812</v>
      </c>
      <c r="I153" s="8" t="n">
        <v>1</v>
      </c>
      <c r="J153" s="11" t="n">
        <v>140.3</v>
      </c>
      <c r="K153" s="4" t="n">
        <v>2370</v>
      </c>
      <c r="L153" s="8" t="n">
        <v>1</v>
      </c>
      <c r="M153" s="11" t="n">
        <v>134.6</v>
      </c>
      <c r="N153" s="4" t="n">
        <v>3263</v>
      </c>
      <c r="O153" s="8" t="n">
        <v>1</v>
      </c>
      <c r="P153" s="4" t="n">
        <f aca="false">H153+K153+N153</f>
        <v>8445</v>
      </c>
      <c r="Q153" s="4" t="n">
        <f aca="false">Q152+P153</f>
        <v>287469</v>
      </c>
      <c r="R153" s="4" t="n">
        <f aca="false">Q153-MAX(0,MAX($Q$2:Q153))</f>
        <v>0</v>
      </c>
    </row>
    <row r="154" customFormat="false" ht="15" hidden="false" customHeight="false" outlineLevel="0" collapsed="false">
      <c r="A154" s="7" t="n">
        <v>44315</v>
      </c>
      <c r="B154" s="8" t="n">
        <f aca="false">YEAR(A154)</f>
        <v>2021</v>
      </c>
      <c r="C154" s="8" t="n">
        <f aca="false">MONTH(A154)</f>
        <v>4</v>
      </c>
      <c r="D154" s="8" t="s">
        <v>36</v>
      </c>
      <c r="E154" s="9" t="n">
        <v>14979</v>
      </c>
      <c r="F154" s="10" t="n">
        <v>22.58</v>
      </c>
      <c r="G154" s="11" t="n">
        <v>95.4</v>
      </c>
      <c r="H154" s="4" t="n">
        <v>1174</v>
      </c>
      <c r="I154" s="8" t="n">
        <v>1</v>
      </c>
      <c r="J154" s="11" t="n">
        <v>94.6</v>
      </c>
      <c r="K154" s="4" t="n">
        <v>2927</v>
      </c>
      <c r="L154" s="8" t="n">
        <v>1</v>
      </c>
      <c r="M154" s="11" t="n">
        <v>88.6</v>
      </c>
      <c r="N154" s="4" t="n">
        <v>1281</v>
      </c>
      <c r="O154" s="8" t="n">
        <v>1</v>
      </c>
      <c r="P154" s="4" t="n">
        <f aca="false">H154+K154+N154</f>
        <v>5382</v>
      </c>
      <c r="Q154" s="4" t="n">
        <f aca="false">Q153+P154</f>
        <v>292851</v>
      </c>
      <c r="R154" s="4" t="n">
        <f aca="false">Q154-MAX(0,MAX($Q$2:Q154))</f>
        <v>0</v>
      </c>
    </row>
    <row r="155" customFormat="false" ht="15" hidden="false" customHeight="false" outlineLevel="0" collapsed="false">
      <c r="A155" s="7" t="n">
        <v>44322</v>
      </c>
      <c r="B155" s="8" t="n">
        <f aca="false">YEAR(A155)</f>
        <v>2021</v>
      </c>
      <c r="C155" s="8" t="n">
        <f aca="false">MONTH(A155)</f>
        <v>5</v>
      </c>
      <c r="D155" s="8" t="s">
        <v>36</v>
      </c>
      <c r="E155" s="9" t="n">
        <v>14668.4</v>
      </c>
      <c r="F155" s="10" t="n">
        <v>23.01</v>
      </c>
      <c r="G155" s="11" t="n">
        <v>133</v>
      </c>
      <c r="H155" s="4" t="n">
        <v>2744</v>
      </c>
      <c r="I155" s="8" t="n">
        <v>1</v>
      </c>
      <c r="J155" s="11" t="n">
        <v>131.8</v>
      </c>
      <c r="K155" s="4" t="n">
        <v>-1108</v>
      </c>
      <c r="L155" s="8" t="n">
        <v>1</v>
      </c>
      <c r="M155" s="11" t="n">
        <v>126.3</v>
      </c>
      <c r="N155" s="4" t="n">
        <v>-1178</v>
      </c>
      <c r="O155" s="8" t="n">
        <v>1</v>
      </c>
      <c r="P155" s="4" t="n">
        <f aca="false">H155+K155+N155</f>
        <v>458</v>
      </c>
      <c r="Q155" s="4" t="n">
        <f aca="false">Q154+P155</f>
        <v>293309</v>
      </c>
      <c r="R155" s="4" t="n">
        <f aca="false">Q155-MAX(0,MAX($Q$2:Q155))</f>
        <v>0</v>
      </c>
    </row>
    <row r="156" customFormat="false" ht="15" hidden="false" customHeight="false" outlineLevel="0" collapsed="false">
      <c r="A156" s="7" t="n">
        <v>44328</v>
      </c>
      <c r="B156" s="8" t="n">
        <f aca="false">YEAR(A156)</f>
        <v>2021</v>
      </c>
      <c r="C156" s="8" t="n">
        <f aca="false">MONTH(A156)</f>
        <v>5</v>
      </c>
      <c r="D156" s="8" t="s">
        <v>37</v>
      </c>
      <c r="E156" s="9" t="n">
        <v>14823.6</v>
      </c>
      <c r="F156" s="10" t="n">
        <v>20.23</v>
      </c>
      <c r="G156" s="11" t="n">
        <v>116.6</v>
      </c>
      <c r="H156" s="4" t="n">
        <v>1576</v>
      </c>
      <c r="I156" s="8" t="n">
        <v>1</v>
      </c>
      <c r="J156" s="11" t="n">
        <v>113.4</v>
      </c>
      <c r="K156" s="4" t="n">
        <v>2507</v>
      </c>
      <c r="L156" s="8" t="n">
        <v>1</v>
      </c>
      <c r="M156" s="11" t="n">
        <v>109.6</v>
      </c>
      <c r="N156" s="4" t="n">
        <v>2985</v>
      </c>
      <c r="O156" s="8" t="n">
        <v>1</v>
      </c>
      <c r="P156" s="4" t="n">
        <f aca="false">H156+K156+N156</f>
        <v>7068</v>
      </c>
      <c r="Q156" s="4" t="n">
        <f aca="false">Q155+P156</f>
        <v>300377</v>
      </c>
      <c r="R156" s="4" t="n">
        <f aca="false">Q156-MAX(0,MAX($Q$2:Q156))</f>
        <v>0</v>
      </c>
    </row>
    <row r="157" customFormat="false" ht="15" hidden="false" customHeight="false" outlineLevel="0" collapsed="false">
      <c r="A157" s="7" t="n">
        <v>44336</v>
      </c>
      <c r="B157" s="8" t="n">
        <f aca="false">YEAR(A157)</f>
        <v>2021</v>
      </c>
      <c r="C157" s="8" t="n">
        <f aca="false">MONTH(A157)</f>
        <v>5</v>
      </c>
      <c r="D157" s="8" t="s">
        <v>36</v>
      </c>
      <c r="E157" s="9" t="n">
        <v>15042.6</v>
      </c>
      <c r="F157" s="10" t="n">
        <v>19.24</v>
      </c>
      <c r="G157" s="11" t="n">
        <v>103.7</v>
      </c>
      <c r="H157" s="4" t="n">
        <v>2288</v>
      </c>
      <c r="I157" s="8" t="n">
        <v>1</v>
      </c>
      <c r="J157" s="11" t="n">
        <v>102.4</v>
      </c>
      <c r="K157" s="4" t="n">
        <v>-2320</v>
      </c>
      <c r="L157" s="8" t="n">
        <v>2</v>
      </c>
      <c r="M157" s="11" t="n">
        <v>97.8</v>
      </c>
      <c r="N157" s="4" t="n">
        <v>2564</v>
      </c>
      <c r="O157" s="8" t="n">
        <v>1</v>
      </c>
      <c r="P157" s="4" t="n">
        <f aca="false">H157+K157+N157</f>
        <v>2532</v>
      </c>
      <c r="Q157" s="4" t="n">
        <f aca="false">Q156+P157</f>
        <v>302909</v>
      </c>
      <c r="R157" s="4" t="n">
        <f aca="false">Q157-MAX(0,MAX($Q$2:Q157))</f>
        <v>0</v>
      </c>
    </row>
    <row r="158" customFormat="false" ht="15" hidden="false" customHeight="false" outlineLevel="0" collapsed="false">
      <c r="A158" s="7" t="n">
        <v>44343</v>
      </c>
      <c r="B158" s="8" t="n">
        <f aca="false">YEAR(A158)</f>
        <v>2021</v>
      </c>
      <c r="C158" s="8" t="n">
        <f aca="false">MONTH(A158)</f>
        <v>5</v>
      </c>
      <c r="D158" s="8" t="s">
        <v>36</v>
      </c>
      <c r="E158" s="9" t="n">
        <v>15324</v>
      </c>
      <c r="F158" s="10" t="n">
        <v>20.87</v>
      </c>
      <c r="G158" s="11" t="n">
        <v>100.3</v>
      </c>
      <c r="H158" s="4" t="n">
        <v>1884</v>
      </c>
      <c r="I158" s="8" t="n">
        <v>1</v>
      </c>
      <c r="J158" s="11" t="n">
        <v>99.3</v>
      </c>
      <c r="K158" s="4" t="n">
        <v>2578</v>
      </c>
      <c r="L158" s="8" t="n">
        <v>1</v>
      </c>
      <c r="M158" s="11" t="n">
        <v>95.2</v>
      </c>
      <c r="N158" s="4" t="n">
        <v>1101</v>
      </c>
      <c r="O158" s="8" t="n">
        <v>1</v>
      </c>
      <c r="P158" s="4" t="n">
        <f aca="false">H158+K158+N158</f>
        <v>5563</v>
      </c>
      <c r="Q158" s="4" t="n">
        <f aca="false">Q157+P158</f>
        <v>308472</v>
      </c>
      <c r="R158" s="4" t="n">
        <f aca="false">Q158-MAX(0,MAX($Q$2:Q158))</f>
        <v>0</v>
      </c>
    </row>
    <row r="159" customFormat="false" ht="15" hidden="false" customHeight="false" outlineLevel="0" collapsed="false">
      <c r="A159" s="7" t="n">
        <v>44350</v>
      </c>
      <c r="B159" s="8" t="n">
        <f aca="false">YEAR(A159)</f>
        <v>2021</v>
      </c>
      <c r="C159" s="8" t="n">
        <f aca="false">MONTH(A159)</f>
        <v>6</v>
      </c>
      <c r="D159" s="8" t="s">
        <v>36</v>
      </c>
      <c r="E159" s="9" t="n">
        <v>15655.6</v>
      </c>
      <c r="F159" s="10" t="n">
        <v>17.21</v>
      </c>
      <c r="G159" s="11" t="n">
        <v>98.3</v>
      </c>
      <c r="H159" s="4" t="n">
        <v>3135</v>
      </c>
      <c r="I159" s="8" t="n">
        <v>0</v>
      </c>
      <c r="J159" s="11" t="n">
        <v>96.9</v>
      </c>
      <c r="K159" s="4" t="n">
        <v>3043</v>
      </c>
      <c r="L159" s="8" t="n">
        <v>0</v>
      </c>
      <c r="M159" s="11" t="n">
        <v>92.1</v>
      </c>
      <c r="N159" s="4" t="n">
        <v>2735</v>
      </c>
      <c r="O159" s="8" t="n">
        <v>0</v>
      </c>
      <c r="P159" s="4" t="n">
        <f aca="false">H159+K159+N159</f>
        <v>8913</v>
      </c>
      <c r="Q159" s="4" t="n">
        <f aca="false">Q158+P159</f>
        <v>317385</v>
      </c>
      <c r="R159" s="4" t="n">
        <f aca="false">Q159-MAX(0,MAX($Q$2:Q159))</f>
        <v>0</v>
      </c>
    </row>
    <row r="160" customFormat="false" ht="15" hidden="false" customHeight="false" outlineLevel="0" collapsed="false">
      <c r="A160" s="7" t="n">
        <v>44357</v>
      </c>
      <c r="B160" s="8" t="n">
        <f aca="false">YEAR(A160)</f>
        <v>2021</v>
      </c>
      <c r="C160" s="8" t="n">
        <f aca="false">MONTH(A160)</f>
        <v>6</v>
      </c>
      <c r="D160" s="8" t="s">
        <v>36</v>
      </c>
      <c r="E160" s="9" t="n">
        <v>15692.1</v>
      </c>
      <c r="F160" s="10" t="n">
        <v>14.75</v>
      </c>
      <c r="G160" s="11" t="n">
        <v>67.8</v>
      </c>
      <c r="H160" s="4" t="n">
        <v>-1612</v>
      </c>
      <c r="I160" s="8" t="n">
        <v>2</v>
      </c>
      <c r="J160" s="11" t="n">
        <v>65</v>
      </c>
      <c r="K160" s="4" t="n">
        <v>1125</v>
      </c>
      <c r="L160" s="8" t="n">
        <v>1</v>
      </c>
      <c r="M160" s="11" t="n">
        <v>62.4</v>
      </c>
      <c r="N160" s="4" t="n">
        <v>1440</v>
      </c>
      <c r="O160" s="8" t="n">
        <v>1</v>
      </c>
      <c r="P160" s="4" t="n">
        <f aca="false">H160+K160+N160</f>
        <v>953</v>
      </c>
      <c r="Q160" s="4" t="n">
        <f aca="false">Q159+P160</f>
        <v>318338</v>
      </c>
      <c r="R160" s="4" t="n">
        <f aca="false">Q160-MAX(0,MAX($Q$2:Q160))</f>
        <v>0</v>
      </c>
    </row>
    <row r="161" customFormat="false" ht="15" hidden="false" customHeight="false" outlineLevel="0" collapsed="false">
      <c r="A161" s="7" t="n">
        <v>44364</v>
      </c>
      <c r="B161" s="8" t="n">
        <f aca="false">YEAR(A161)</f>
        <v>2021</v>
      </c>
      <c r="C161" s="8" t="n">
        <f aca="false">MONTH(A161)</f>
        <v>6</v>
      </c>
      <c r="D161" s="8" t="s">
        <v>36</v>
      </c>
      <c r="E161" s="9" t="n">
        <v>15648.3</v>
      </c>
      <c r="F161" s="10" t="n">
        <v>14.87</v>
      </c>
      <c r="G161" s="11" t="n">
        <v>100.6</v>
      </c>
      <c r="H161" s="4" t="n">
        <v>844</v>
      </c>
      <c r="I161" s="8" t="n">
        <v>1</v>
      </c>
      <c r="J161" s="11" t="n">
        <v>97.2</v>
      </c>
      <c r="K161" s="4" t="n">
        <v>-2214</v>
      </c>
      <c r="L161" s="8" t="n">
        <v>2</v>
      </c>
      <c r="M161" s="11" t="n">
        <v>95.4</v>
      </c>
      <c r="N161" s="4" t="n">
        <v>-2176</v>
      </c>
      <c r="O161" s="8" t="n">
        <v>2</v>
      </c>
      <c r="P161" s="4" t="n">
        <f aca="false">H161+K161+N161</f>
        <v>-3546</v>
      </c>
      <c r="Q161" s="4" t="n">
        <f aca="false">Q160+P161</f>
        <v>314792</v>
      </c>
      <c r="R161" s="4" t="n">
        <f aca="false">Q161-MAX(0,MAX($Q$2:Q161))</f>
        <v>-3546</v>
      </c>
    </row>
    <row r="162" customFormat="false" ht="15" hidden="false" customHeight="false" outlineLevel="0" collapsed="false">
      <c r="A162" s="7" t="n">
        <v>44371</v>
      </c>
      <c r="B162" s="8" t="n">
        <f aca="false">YEAR(A162)</f>
        <v>2021</v>
      </c>
      <c r="C162" s="8" t="n">
        <f aca="false">MONTH(A162)</f>
        <v>6</v>
      </c>
      <c r="D162" s="8" t="s">
        <v>36</v>
      </c>
      <c r="E162" s="9" t="n">
        <v>15737.3</v>
      </c>
      <c r="F162" s="10" t="n">
        <v>15.37</v>
      </c>
      <c r="G162" s="11" t="n">
        <v>89.4</v>
      </c>
      <c r="H162" s="4" t="n">
        <v>623</v>
      </c>
      <c r="I162" s="8" t="n">
        <v>1</v>
      </c>
      <c r="J162" s="11" t="n">
        <v>85.5</v>
      </c>
      <c r="K162" s="4" t="n">
        <v>1457</v>
      </c>
      <c r="L162" s="8" t="n">
        <v>1</v>
      </c>
      <c r="M162" s="11" t="n">
        <v>82</v>
      </c>
      <c r="N162" s="4" t="n">
        <v>1914</v>
      </c>
      <c r="O162" s="8" t="n">
        <v>1</v>
      </c>
      <c r="P162" s="4" t="n">
        <f aca="false">H162+K162+N162</f>
        <v>3994</v>
      </c>
      <c r="Q162" s="4" t="n">
        <f aca="false">Q161+P162</f>
        <v>318786</v>
      </c>
      <c r="R162" s="4" t="n">
        <f aca="false">Q162-MAX(0,MAX($Q$2:Q162))</f>
        <v>0</v>
      </c>
    </row>
    <row r="163" customFormat="false" ht="15" hidden="false" customHeight="false" outlineLevel="0" collapsed="false">
      <c r="A163" s="7" t="n">
        <v>44378</v>
      </c>
      <c r="B163" s="8" t="n">
        <f aca="false">YEAR(A163)</f>
        <v>2021</v>
      </c>
      <c r="C163" s="8" t="n">
        <f aca="false">MONTH(A163)</f>
        <v>7</v>
      </c>
      <c r="D163" s="8" t="s">
        <v>36</v>
      </c>
      <c r="E163" s="9" t="n">
        <v>15755</v>
      </c>
      <c r="F163" s="10" t="n">
        <v>13.05</v>
      </c>
      <c r="G163" s="11" t="n">
        <v>60</v>
      </c>
      <c r="H163" s="4" t="n">
        <v>-1453</v>
      </c>
      <c r="I163" s="8" t="n">
        <v>2</v>
      </c>
      <c r="J163" s="11" t="n">
        <v>60.8</v>
      </c>
      <c r="K163" s="4" t="n">
        <v>-1469</v>
      </c>
      <c r="L163" s="8" t="n">
        <v>2</v>
      </c>
      <c r="M163" s="11" t="n">
        <v>56.7</v>
      </c>
      <c r="N163" s="4" t="n">
        <v>1927</v>
      </c>
      <c r="O163" s="8" t="n">
        <v>1</v>
      </c>
      <c r="P163" s="4" t="n">
        <f aca="false">H163+K163+N163</f>
        <v>-995</v>
      </c>
      <c r="Q163" s="4" t="n">
        <f aca="false">Q162+P163</f>
        <v>317791</v>
      </c>
      <c r="R163" s="4" t="n">
        <f aca="false">Q163-MAX(0,MAX($Q$2:Q163))</f>
        <v>-995</v>
      </c>
    </row>
    <row r="164" customFormat="false" ht="15" hidden="false" customHeight="false" outlineLevel="0" collapsed="false">
      <c r="A164" s="7" t="n">
        <v>44385</v>
      </c>
      <c r="B164" s="8" t="n">
        <f aca="false">YEAR(A164)</f>
        <v>2021</v>
      </c>
      <c r="C164" s="8" t="n">
        <f aca="false">MONTH(A164)</f>
        <v>7</v>
      </c>
      <c r="D164" s="8" t="s">
        <v>36</v>
      </c>
      <c r="E164" s="9" t="n">
        <v>15855.4</v>
      </c>
      <c r="F164" s="10" t="n">
        <v>12.21</v>
      </c>
      <c r="G164" s="11" t="n">
        <v>63.2</v>
      </c>
      <c r="H164" s="4" t="n">
        <v>2074</v>
      </c>
      <c r="I164" s="8" t="n">
        <v>1</v>
      </c>
      <c r="J164" s="11" t="n">
        <v>63.8</v>
      </c>
      <c r="K164" s="4" t="n">
        <v>2363</v>
      </c>
      <c r="L164" s="8" t="n">
        <v>1</v>
      </c>
      <c r="M164" s="11" t="n">
        <v>58</v>
      </c>
      <c r="N164" s="4" t="n">
        <v>1537</v>
      </c>
      <c r="O164" s="8" t="n">
        <v>1</v>
      </c>
      <c r="P164" s="4" t="n">
        <f aca="false">H164+K164+N164</f>
        <v>5974</v>
      </c>
      <c r="Q164" s="4" t="n">
        <f aca="false">Q163+P164</f>
        <v>323765</v>
      </c>
      <c r="R164" s="4" t="n">
        <f aca="false">Q164-MAX(0,MAX($Q$2:Q164))</f>
        <v>0</v>
      </c>
    </row>
    <row r="165" customFormat="false" ht="15" hidden="false" customHeight="false" outlineLevel="0" collapsed="false">
      <c r="A165" s="7" t="n">
        <v>44392</v>
      </c>
      <c r="B165" s="8" t="n">
        <f aca="false">YEAR(A165)</f>
        <v>2021</v>
      </c>
      <c r="C165" s="8" t="n">
        <f aca="false">MONTH(A165)</f>
        <v>7</v>
      </c>
      <c r="D165" s="8" t="s">
        <v>36</v>
      </c>
      <c r="E165" s="9" t="n">
        <v>15872.2</v>
      </c>
      <c r="F165" s="10" t="n">
        <v>12.59</v>
      </c>
      <c r="G165" s="11" t="n">
        <v>62.7</v>
      </c>
      <c r="H165" s="4" t="n">
        <v>1647</v>
      </c>
      <c r="I165" s="8" t="n">
        <v>1</v>
      </c>
      <c r="J165" s="11" t="n">
        <v>61.4</v>
      </c>
      <c r="K165" s="4" t="n">
        <v>1535</v>
      </c>
      <c r="L165" s="8" t="n">
        <v>1</v>
      </c>
      <c r="M165" s="11" t="n">
        <v>58.7</v>
      </c>
      <c r="N165" s="4" t="n">
        <v>1446</v>
      </c>
      <c r="O165" s="8" t="n">
        <v>1</v>
      </c>
      <c r="P165" s="4" t="n">
        <f aca="false">H165+K165+N165</f>
        <v>4628</v>
      </c>
      <c r="Q165" s="4" t="n">
        <f aca="false">Q164+P165</f>
        <v>328393</v>
      </c>
      <c r="R165" s="4" t="n">
        <f aca="false">Q165-MAX(0,MAX($Q$2:Q165))</f>
        <v>0</v>
      </c>
    </row>
    <row r="166" customFormat="false" ht="15" hidden="false" customHeight="false" outlineLevel="0" collapsed="false">
      <c r="A166" s="7" t="n">
        <v>44399</v>
      </c>
      <c r="B166" s="8" t="n">
        <f aca="false">YEAR(A166)</f>
        <v>2021</v>
      </c>
      <c r="C166" s="8" t="n">
        <f aca="false">MONTH(A166)</f>
        <v>7</v>
      </c>
      <c r="D166" s="8" t="s">
        <v>36</v>
      </c>
      <c r="E166" s="9" t="n">
        <v>15736.6</v>
      </c>
      <c r="F166" s="10" t="n">
        <v>13.21</v>
      </c>
      <c r="G166" s="11" t="n">
        <v>84.5</v>
      </c>
      <c r="H166" s="4" t="n">
        <v>1156</v>
      </c>
      <c r="I166" s="8" t="n">
        <v>1</v>
      </c>
      <c r="J166" s="11" t="n">
        <v>83.4</v>
      </c>
      <c r="K166" s="4" t="n">
        <v>974</v>
      </c>
      <c r="L166" s="8" t="n">
        <v>1</v>
      </c>
      <c r="M166" s="11" t="n">
        <v>79.6</v>
      </c>
      <c r="N166" s="4" t="n">
        <v>1875</v>
      </c>
      <c r="O166" s="8" t="n">
        <v>1</v>
      </c>
      <c r="P166" s="4" t="n">
        <f aca="false">H166+K166+N166</f>
        <v>4005</v>
      </c>
      <c r="Q166" s="4" t="n">
        <f aca="false">Q165+P166</f>
        <v>332398</v>
      </c>
      <c r="R166" s="4" t="n">
        <f aca="false">Q166-MAX(0,MAX($Q$2:Q166))</f>
        <v>0</v>
      </c>
    </row>
    <row r="167" customFormat="false" ht="15" hidden="false" customHeight="false" outlineLevel="0" collapsed="false">
      <c r="A167" s="7" t="n">
        <v>44406</v>
      </c>
      <c r="B167" s="8" t="n">
        <f aca="false">YEAR(A167)</f>
        <v>2021</v>
      </c>
      <c r="C167" s="8" t="n">
        <f aca="false">MONTH(A167)</f>
        <v>7</v>
      </c>
      <c r="D167" s="8" t="s">
        <v>36</v>
      </c>
      <c r="E167" s="9" t="n">
        <v>15762.7</v>
      </c>
      <c r="F167" s="10" t="n">
        <v>13.69</v>
      </c>
      <c r="G167" s="11" t="n">
        <v>73.2</v>
      </c>
      <c r="H167" s="4" t="n">
        <v>515</v>
      </c>
      <c r="I167" s="8" t="n">
        <v>1</v>
      </c>
      <c r="J167" s="11" t="n">
        <v>70.2</v>
      </c>
      <c r="K167" s="4" t="n">
        <v>1482</v>
      </c>
      <c r="L167" s="8" t="n">
        <v>1</v>
      </c>
      <c r="M167" s="11" t="n">
        <v>70.3</v>
      </c>
      <c r="N167" s="4" t="n">
        <v>-1663</v>
      </c>
      <c r="O167" s="8" t="n">
        <v>2</v>
      </c>
      <c r="P167" s="4" t="n">
        <f aca="false">H167+K167+N167</f>
        <v>334</v>
      </c>
      <c r="Q167" s="4" t="n">
        <f aca="false">Q166+P167</f>
        <v>332732</v>
      </c>
      <c r="R167" s="4" t="n">
        <f aca="false">Q167-MAX(0,MAX($Q$2:Q167))</f>
        <v>0</v>
      </c>
    </row>
    <row r="168" customFormat="false" ht="15" hidden="false" customHeight="false" outlineLevel="0" collapsed="false">
      <c r="A168" s="7" t="n">
        <v>44413</v>
      </c>
      <c r="B168" s="8" t="n">
        <f aca="false">YEAR(A168)</f>
        <v>2021</v>
      </c>
      <c r="C168" s="8" t="n">
        <f aca="false">MONTH(A168)</f>
        <v>8</v>
      </c>
      <c r="D168" s="8" t="s">
        <v>36</v>
      </c>
      <c r="E168" s="9" t="n">
        <v>16289</v>
      </c>
      <c r="F168" s="10" t="n">
        <v>13.21</v>
      </c>
      <c r="G168" s="11" t="n">
        <v>97.4</v>
      </c>
      <c r="H168" s="4" t="n">
        <v>-2218</v>
      </c>
      <c r="I168" s="8" t="n">
        <v>2</v>
      </c>
      <c r="J168" s="11" t="n">
        <v>96.2</v>
      </c>
      <c r="K168" s="4" t="n">
        <v>935</v>
      </c>
      <c r="L168" s="8" t="n">
        <v>1</v>
      </c>
      <c r="M168" s="11" t="n">
        <v>90.7</v>
      </c>
      <c r="N168" s="4" t="n">
        <v>-2080</v>
      </c>
      <c r="O168" s="8" t="n">
        <v>2</v>
      </c>
      <c r="P168" s="4" t="n">
        <f aca="false">H168+K168+N168</f>
        <v>-3363</v>
      </c>
      <c r="Q168" s="4" t="n">
        <f aca="false">Q167+P168</f>
        <v>329369</v>
      </c>
      <c r="R168" s="4" t="n">
        <f aca="false">Q168-MAX(0,MAX($Q$2:Q168))</f>
        <v>-3363</v>
      </c>
    </row>
    <row r="169" customFormat="false" ht="15" hidden="false" customHeight="false" outlineLevel="0" collapsed="false">
      <c r="A169" s="7" t="n">
        <v>44420</v>
      </c>
      <c r="B169" s="8" t="n">
        <f aca="false">YEAR(A169)</f>
        <v>2021</v>
      </c>
      <c r="C169" s="8" t="n">
        <f aca="false">MONTH(A169)</f>
        <v>8</v>
      </c>
      <c r="D169" s="8" t="s">
        <v>36</v>
      </c>
      <c r="E169" s="9" t="n">
        <v>16303.6</v>
      </c>
      <c r="F169" s="10" t="n">
        <v>12.71</v>
      </c>
      <c r="G169" s="11" t="n">
        <v>82</v>
      </c>
      <c r="H169" s="4" t="n">
        <v>-1903</v>
      </c>
      <c r="I169" s="8" t="n">
        <v>2</v>
      </c>
      <c r="J169" s="11" t="n">
        <v>78.6</v>
      </c>
      <c r="K169" s="4" t="n">
        <v>1186</v>
      </c>
      <c r="L169" s="8" t="n">
        <v>1</v>
      </c>
      <c r="M169" s="11" t="n">
        <v>76.3</v>
      </c>
      <c r="N169" s="4" t="n">
        <v>3609</v>
      </c>
      <c r="O169" s="8" t="n">
        <v>0</v>
      </c>
      <c r="P169" s="4" t="n">
        <f aca="false">H169+K169+N169</f>
        <v>2892</v>
      </c>
      <c r="Q169" s="4" t="n">
        <f aca="false">Q168+P169</f>
        <v>332261</v>
      </c>
      <c r="R169" s="4" t="n">
        <f aca="false">Q169-MAX(0,MAX($Q$2:Q169))</f>
        <v>-471</v>
      </c>
    </row>
    <row r="170" customFormat="false" ht="15" hidden="false" customHeight="false" outlineLevel="0" collapsed="false">
      <c r="A170" s="7" t="n">
        <v>44426</v>
      </c>
      <c r="B170" s="8" t="n">
        <f aca="false">YEAR(A170)</f>
        <v>2021</v>
      </c>
      <c r="C170" s="8" t="n">
        <f aca="false">MONTH(A170)</f>
        <v>8</v>
      </c>
      <c r="D170" s="8" t="s">
        <v>37</v>
      </c>
      <c r="E170" s="9" t="n">
        <v>16692</v>
      </c>
      <c r="F170" s="10" t="n">
        <v>13.41</v>
      </c>
      <c r="G170" s="11" t="n">
        <v>107.9</v>
      </c>
      <c r="H170" s="4" t="n">
        <v>1683</v>
      </c>
      <c r="I170" s="8" t="n">
        <v>1</v>
      </c>
      <c r="J170" s="11" t="n">
        <v>106.4</v>
      </c>
      <c r="K170" s="4" t="n">
        <v>1457</v>
      </c>
      <c r="L170" s="8" t="n">
        <v>1</v>
      </c>
      <c r="M170" s="11" t="n">
        <v>101.8</v>
      </c>
      <c r="N170" s="4" t="n">
        <v>1391</v>
      </c>
      <c r="O170" s="8" t="n">
        <v>1</v>
      </c>
      <c r="P170" s="4" t="n">
        <f aca="false">H170+K170+N170</f>
        <v>4531</v>
      </c>
      <c r="Q170" s="4" t="n">
        <f aca="false">Q169+P170</f>
        <v>336792</v>
      </c>
      <c r="R170" s="4" t="n">
        <f aca="false">Q170-MAX(0,MAX($Q$2:Q170))</f>
        <v>0</v>
      </c>
    </row>
    <row r="171" customFormat="false" ht="15" hidden="false" customHeight="false" outlineLevel="0" collapsed="false">
      <c r="A171" s="7" t="n">
        <v>44434</v>
      </c>
      <c r="B171" s="8" t="n">
        <f aca="false">YEAR(A171)</f>
        <v>2021</v>
      </c>
      <c r="C171" s="8" t="n">
        <f aca="false">MONTH(A171)</f>
        <v>8</v>
      </c>
      <c r="D171" s="8" t="s">
        <v>36</v>
      </c>
      <c r="E171" s="9" t="n">
        <v>16628</v>
      </c>
      <c r="F171" s="10" t="n">
        <v>13.5</v>
      </c>
      <c r="G171" s="11" t="n">
        <v>98.3</v>
      </c>
      <c r="H171" s="4" t="n">
        <v>849</v>
      </c>
      <c r="I171" s="8" t="n">
        <v>1</v>
      </c>
      <c r="J171" s="11" t="n">
        <v>94.7</v>
      </c>
      <c r="K171" s="4" t="n">
        <v>810</v>
      </c>
      <c r="L171" s="8" t="n">
        <v>1</v>
      </c>
      <c r="M171" s="11" t="n">
        <v>92.6</v>
      </c>
      <c r="N171" s="4" t="n">
        <v>2461</v>
      </c>
      <c r="O171" s="8" t="n">
        <v>1</v>
      </c>
      <c r="P171" s="4" t="n">
        <f aca="false">H171+K171+N171</f>
        <v>4120</v>
      </c>
      <c r="Q171" s="4" t="n">
        <f aca="false">Q170+P171</f>
        <v>340912</v>
      </c>
      <c r="R171" s="4" t="n">
        <f aca="false">Q171-MAX(0,MAX($Q$2:Q171))</f>
        <v>0</v>
      </c>
    </row>
    <row r="172" customFormat="false" ht="15" hidden="false" customHeight="false" outlineLevel="0" collapsed="false">
      <c r="A172" s="7" t="n">
        <v>44441</v>
      </c>
      <c r="B172" s="8" t="n">
        <f aca="false">YEAR(A172)</f>
        <v>2021</v>
      </c>
      <c r="C172" s="8" t="n">
        <f aca="false">MONTH(A172)</f>
        <v>9</v>
      </c>
      <c r="D172" s="8" t="s">
        <v>36</v>
      </c>
      <c r="E172" s="9" t="n">
        <v>17095.4</v>
      </c>
      <c r="F172" s="10" t="n">
        <v>14.19</v>
      </c>
      <c r="G172" s="11" t="n">
        <v>83</v>
      </c>
      <c r="H172" s="4" t="n">
        <v>1433</v>
      </c>
      <c r="I172" s="8" t="n">
        <v>1</v>
      </c>
      <c r="J172" s="11" t="n">
        <v>84.3</v>
      </c>
      <c r="K172" s="4" t="n">
        <v>-1950</v>
      </c>
      <c r="L172" s="8" t="n">
        <v>2</v>
      </c>
      <c r="M172" s="11" t="n">
        <v>79.4</v>
      </c>
      <c r="N172" s="4" t="n">
        <v>2305</v>
      </c>
      <c r="O172" s="8" t="n">
        <v>1</v>
      </c>
      <c r="P172" s="4" t="n">
        <f aca="false">H172+K172+N172</f>
        <v>1788</v>
      </c>
      <c r="Q172" s="4" t="n">
        <f aca="false">Q171+P172</f>
        <v>342700</v>
      </c>
      <c r="R172" s="4" t="n">
        <f aca="false">Q172-MAX(0,MAX($Q$2:Q172))</f>
        <v>0</v>
      </c>
    </row>
    <row r="173" customFormat="false" ht="15" hidden="false" customHeight="false" outlineLevel="0" collapsed="false">
      <c r="A173" s="7" t="n">
        <v>44448</v>
      </c>
      <c r="B173" s="8" t="n">
        <f aca="false">YEAR(A173)</f>
        <v>2021</v>
      </c>
      <c r="C173" s="8" t="n">
        <f aca="false">MONTH(A173)</f>
        <v>9</v>
      </c>
      <c r="D173" s="8" t="s">
        <v>36</v>
      </c>
      <c r="E173" s="9" t="n">
        <v>17312.8</v>
      </c>
      <c r="F173" s="10" t="n">
        <v>14.41</v>
      </c>
      <c r="G173" s="11" t="n">
        <v>80.8</v>
      </c>
      <c r="H173" s="4" t="n">
        <v>120</v>
      </c>
      <c r="I173" s="8" t="n">
        <v>1</v>
      </c>
      <c r="J173" s="11" t="n">
        <v>80.6</v>
      </c>
      <c r="K173" s="4" t="n">
        <v>713</v>
      </c>
      <c r="L173" s="8" t="n">
        <v>1</v>
      </c>
      <c r="M173" s="11" t="n">
        <v>77.2</v>
      </c>
      <c r="N173" s="4" t="n">
        <v>2092</v>
      </c>
      <c r="O173" s="8" t="n">
        <v>1</v>
      </c>
      <c r="P173" s="4" t="n">
        <f aca="false">H173+K173+N173</f>
        <v>2925</v>
      </c>
      <c r="Q173" s="4" t="n">
        <f aca="false">Q172+P173</f>
        <v>345625</v>
      </c>
      <c r="R173" s="4" t="n">
        <f aca="false">Q173-MAX(0,MAX($Q$2:Q173))</f>
        <v>0</v>
      </c>
    </row>
    <row r="174" customFormat="false" ht="15" hidden="false" customHeight="false" outlineLevel="0" collapsed="false">
      <c r="A174" s="7" t="n">
        <v>44455</v>
      </c>
      <c r="B174" s="8" t="n">
        <f aca="false">YEAR(A174)</f>
        <v>2021</v>
      </c>
      <c r="C174" s="8" t="n">
        <f aca="false">MONTH(A174)</f>
        <v>9</v>
      </c>
      <c r="D174" s="8" t="s">
        <v>36</v>
      </c>
      <c r="E174" s="9" t="n">
        <v>17539.2</v>
      </c>
      <c r="F174" s="10" t="n">
        <v>13.73</v>
      </c>
      <c r="G174" s="11" t="n">
        <v>58.5</v>
      </c>
      <c r="H174" s="4" t="n">
        <v>-1422</v>
      </c>
      <c r="I174" s="8" t="n">
        <v>2</v>
      </c>
      <c r="J174" s="11" t="n">
        <v>57.4</v>
      </c>
      <c r="K174" s="4" t="n">
        <v>-1398</v>
      </c>
      <c r="L174" s="8" t="n">
        <v>2</v>
      </c>
      <c r="M174" s="11" t="n">
        <v>54.2</v>
      </c>
      <c r="N174" s="4" t="n">
        <v>1579</v>
      </c>
      <c r="O174" s="8" t="n">
        <v>1</v>
      </c>
      <c r="P174" s="4" t="n">
        <f aca="false">H174+K174+N174</f>
        <v>-1241</v>
      </c>
      <c r="Q174" s="4" t="n">
        <f aca="false">Q173+P174</f>
        <v>344384</v>
      </c>
      <c r="R174" s="4" t="n">
        <f aca="false">Q174-MAX(0,MAX($Q$2:Q174))</f>
        <v>-1241</v>
      </c>
    </row>
    <row r="175" customFormat="false" ht="15" hidden="false" customHeight="false" outlineLevel="0" collapsed="false">
      <c r="A175" s="7" t="n">
        <v>44462</v>
      </c>
      <c r="B175" s="8" t="n">
        <f aca="false">YEAR(A175)</f>
        <v>2021</v>
      </c>
      <c r="C175" s="8" t="n">
        <f aca="false">MONTH(A175)</f>
        <v>9</v>
      </c>
      <c r="D175" s="8" t="s">
        <v>36</v>
      </c>
      <c r="E175" s="9" t="n">
        <v>17670.8</v>
      </c>
      <c r="F175" s="10" t="n">
        <v>16.49</v>
      </c>
      <c r="G175" s="11" t="n">
        <v>97.8</v>
      </c>
      <c r="H175" s="4" t="n">
        <v>827</v>
      </c>
      <c r="I175" s="8" t="n">
        <v>1</v>
      </c>
      <c r="J175" s="11" t="n">
        <v>94.6</v>
      </c>
      <c r="K175" s="4" t="n">
        <v>2472</v>
      </c>
      <c r="L175" s="8" t="n">
        <v>1</v>
      </c>
      <c r="M175" s="11" t="n">
        <v>90.9</v>
      </c>
      <c r="N175" s="4" t="n">
        <v>1081</v>
      </c>
      <c r="O175" s="8" t="n">
        <v>1</v>
      </c>
      <c r="P175" s="4" t="n">
        <f aca="false">H175+K175+N175</f>
        <v>4380</v>
      </c>
      <c r="Q175" s="4" t="n">
        <f aca="false">Q174+P175</f>
        <v>348764</v>
      </c>
      <c r="R175" s="4" t="n">
        <f aca="false">Q175-MAX(0,MAX($Q$2:Q175))</f>
        <v>0</v>
      </c>
    </row>
    <row r="176" customFormat="false" ht="15" hidden="false" customHeight="false" outlineLevel="0" collapsed="false">
      <c r="A176" s="7" t="n">
        <v>44469</v>
      </c>
      <c r="B176" s="8" t="n">
        <f aca="false">YEAR(A176)</f>
        <v>2021</v>
      </c>
      <c r="C176" s="8" t="n">
        <f aca="false">MONTH(A176)</f>
        <v>9</v>
      </c>
      <c r="D176" s="8" t="s">
        <v>36</v>
      </c>
      <c r="E176" s="9" t="n">
        <v>17718.9</v>
      </c>
      <c r="F176" s="10" t="n">
        <v>18.84</v>
      </c>
      <c r="G176" s="11" t="n">
        <v>125.4</v>
      </c>
      <c r="H176" s="4" t="n">
        <v>2747</v>
      </c>
      <c r="I176" s="8" t="n">
        <v>1</v>
      </c>
      <c r="J176" s="11" t="n">
        <v>123.6</v>
      </c>
      <c r="K176" s="4" t="n">
        <v>-2755</v>
      </c>
      <c r="L176" s="8" t="n">
        <v>2</v>
      </c>
      <c r="M176" s="11" t="n">
        <v>118</v>
      </c>
      <c r="N176" s="4" t="n">
        <v>2702</v>
      </c>
      <c r="O176" s="8" t="n">
        <v>1</v>
      </c>
      <c r="P176" s="4" t="n">
        <f aca="false">H176+K176+N176</f>
        <v>2694</v>
      </c>
      <c r="Q176" s="4" t="n">
        <f aca="false">Q175+P176</f>
        <v>351458</v>
      </c>
      <c r="R176" s="4" t="n">
        <f aca="false">Q176-MAX(0,MAX($Q$2:Q176))</f>
        <v>0</v>
      </c>
    </row>
    <row r="177" customFormat="false" ht="15" hidden="false" customHeight="false" outlineLevel="0" collapsed="false">
      <c r="A177" s="7" t="n">
        <v>44476</v>
      </c>
      <c r="B177" s="8" t="n">
        <f aca="false">YEAR(A177)</f>
        <v>2021</v>
      </c>
      <c r="C177" s="8" t="n">
        <f aca="false">MONTH(A177)</f>
        <v>10</v>
      </c>
      <c r="D177" s="8" t="s">
        <v>36</v>
      </c>
      <c r="E177" s="9" t="n">
        <v>17810.6</v>
      </c>
      <c r="F177" s="10" t="n">
        <v>17.33</v>
      </c>
      <c r="G177" s="11" t="n">
        <v>128.7</v>
      </c>
      <c r="H177" s="4" t="n">
        <v>1960</v>
      </c>
      <c r="I177" s="8" t="n">
        <v>1</v>
      </c>
      <c r="J177" s="11" t="n">
        <v>127.7</v>
      </c>
      <c r="K177" s="4" t="n">
        <v>6315</v>
      </c>
      <c r="L177" s="8" t="n">
        <v>0</v>
      </c>
      <c r="M177" s="11" t="n">
        <v>120.7</v>
      </c>
      <c r="N177" s="4" t="n">
        <v>1348</v>
      </c>
      <c r="O177" s="8" t="n">
        <v>1</v>
      </c>
      <c r="P177" s="4" t="n">
        <f aca="false">H177+K177+N177</f>
        <v>9623</v>
      </c>
      <c r="Q177" s="4" t="n">
        <f aca="false">Q176+P177</f>
        <v>361081</v>
      </c>
      <c r="R177" s="4" t="n">
        <f aca="false">Q177-MAX(0,MAX($Q$2:Q177))</f>
        <v>0</v>
      </c>
    </row>
    <row r="178" customFormat="false" ht="15" hidden="false" customHeight="false" outlineLevel="0" collapsed="false">
      <c r="A178" s="7" t="n">
        <v>44483</v>
      </c>
      <c r="B178" s="8" t="n">
        <f aca="false">YEAR(A178)</f>
        <v>2021</v>
      </c>
      <c r="C178" s="8" t="n">
        <f aca="false">MONTH(A178)</f>
        <v>10</v>
      </c>
      <c r="D178" s="8" t="s">
        <v>36</v>
      </c>
      <c r="E178" s="9" t="n">
        <v>18272.8</v>
      </c>
      <c r="F178" s="10" t="n">
        <v>16.1</v>
      </c>
      <c r="G178" s="11" t="n">
        <v>81.6</v>
      </c>
      <c r="H178" s="4" t="n">
        <v>-1319</v>
      </c>
      <c r="I178" s="8" t="n">
        <v>1</v>
      </c>
      <c r="J178" s="11" t="n">
        <v>81.7</v>
      </c>
      <c r="K178" s="4" t="n">
        <v>667</v>
      </c>
      <c r="L178" s="8" t="n">
        <v>1</v>
      </c>
      <c r="M178" s="11" t="n">
        <v>77.2</v>
      </c>
      <c r="N178" s="4" t="n">
        <v>2027</v>
      </c>
      <c r="O178" s="8" t="n">
        <v>1</v>
      </c>
      <c r="P178" s="4" t="n">
        <f aca="false">H178+K178+N178</f>
        <v>1375</v>
      </c>
      <c r="Q178" s="4" t="n">
        <f aca="false">Q177+P178</f>
        <v>362456</v>
      </c>
      <c r="R178" s="4" t="n">
        <f aca="false">Q178-MAX(0,MAX($Q$2:Q178))</f>
        <v>0</v>
      </c>
    </row>
    <row r="179" customFormat="false" ht="15" hidden="false" customHeight="false" outlineLevel="0" collapsed="false">
      <c r="A179" s="7" t="n">
        <v>44490</v>
      </c>
      <c r="B179" s="8" t="n">
        <f aca="false">YEAR(A179)</f>
        <v>2021</v>
      </c>
      <c r="C179" s="8" t="n">
        <f aca="false">MONTH(A179)</f>
        <v>10</v>
      </c>
      <c r="D179" s="8" t="s">
        <v>36</v>
      </c>
      <c r="E179" s="9" t="n">
        <v>18382.7</v>
      </c>
      <c r="F179" s="10" t="n">
        <v>18.31</v>
      </c>
      <c r="G179" s="11" t="n">
        <v>126.7</v>
      </c>
      <c r="H179" s="4" t="n">
        <v>2117</v>
      </c>
      <c r="I179" s="8" t="n">
        <v>1</v>
      </c>
      <c r="J179" s="11" t="n">
        <v>124.2</v>
      </c>
      <c r="K179" s="4" t="n">
        <v>3172</v>
      </c>
      <c r="L179" s="8" t="n">
        <v>1</v>
      </c>
      <c r="M179" s="11" t="n">
        <v>119</v>
      </c>
      <c r="N179" s="4" t="n">
        <v>3151</v>
      </c>
      <c r="O179" s="8" t="n">
        <v>1</v>
      </c>
      <c r="P179" s="4" t="n">
        <f aca="false">H179+K179+N179</f>
        <v>8440</v>
      </c>
      <c r="Q179" s="4" t="n">
        <f aca="false">Q178+P179</f>
        <v>370896</v>
      </c>
      <c r="R179" s="4" t="n">
        <f aca="false">Q179-MAX(0,MAX($Q$2:Q179))</f>
        <v>0</v>
      </c>
    </row>
    <row r="180" customFormat="false" ht="15" hidden="false" customHeight="false" outlineLevel="0" collapsed="false">
      <c r="A180" s="7" t="n">
        <v>44497</v>
      </c>
      <c r="B180" s="8" t="n">
        <f aca="false">YEAR(A180)</f>
        <v>2021</v>
      </c>
      <c r="C180" s="8" t="n">
        <f aca="false">MONTH(A180)</f>
        <v>10</v>
      </c>
      <c r="D180" s="8" t="s">
        <v>36</v>
      </c>
      <c r="E180" s="9" t="n">
        <v>18187.6</v>
      </c>
      <c r="F180" s="10" t="n">
        <v>16.83</v>
      </c>
      <c r="G180" s="11" t="n">
        <v>118.4</v>
      </c>
      <c r="H180" s="4" t="n">
        <v>2516</v>
      </c>
      <c r="I180" s="8" t="n">
        <v>1</v>
      </c>
      <c r="J180" s="11" t="n">
        <v>116.3</v>
      </c>
      <c r="K180" s="4" t="n">
        <v>2785</v>
      </c>
      <c r="L180" s="8" t="n">
        <v>1</v>
      </c>
      <c r="M180" s="11" t="n">
        <v>112</v>
      </c>
      <c r="N180" s="4" t="n">
        <v>-2517</v>
      </c>
      <c r="O180" s="8" t="n">
        <v>2</v>
      </c>
      <c r="P180" s="4" t="n">
        <f aca="false">H180+K180+N180</f>
        <v>2784</v>
      </c>
      <c r="Q180" s="4" t="n">
        <f aca="false">Q179+P180</f>
        <v>373680</v>
      </c>
      <c r="R180" s="4" t="n">
        <f aca="false">Q180-MAX(0,MAX($Q$2:Q180))</f>
        <v>0</v>
      </c>
    </row>
    <row r="181" customFormat="false" ht="15" hidden="false" customHeight="false" outlineLevel="0" collapsed="false">
      <c r="A181" s="7" t="n">
        <v>44503</v>
      </c>
      <c r="B181" s="8" t="n">
        <f aca="false">YEAR(A181)</f>
        <v>2021</v>
      </c>
      <c r="C181" s="8" t="n">
        <f aca="false">MONTH(A181)</f>
        <v>11</v>
      </c>
      <c r="D181" s="8" t="s">
        <v>37</v>
      </c>
      <c r="E181" s="9" t="n">
        <v>17948</v>
      </c>
      <c r="F181" s="10" t="n">
        <v>17.06</v>
      </c>
      <c r="G181" s="11" t="n">
        <v>147.7</v>
      </c>
      <c r="H181" s="4" t="n">
        <v>3330</v>
      </c>
      <c r="I181" s="8" t="n">
        <v>1</v>
      </c>
      <c r="J181" s="11" t="n">
        <v>146.3</v>
      </c>
      <c r="K181" s="4" t="n">
        <v>4064</v>
      </c>
      <c r="L181" s="8" t="n">
        <v>1</v>
      </c>
      <c r="M181" s="11" t="n">
        <v>139.3</v>
      </c>
      <c r="N181" s="4" t="n">
        <v>3524</v>
      </c>
      <c r="O181" s="8" t="n">
        <v>1</v>
      </c>
      <c r="P181" s="4" t="n">
        <f aca="false">H181+K181+N181</f>
        <v>10918</v>
      </c>
      <c r="Q181" s="4" t="n">
        <f aca="false">Q180+P181</f>
        <v>384598</v>
      </c>
      <c r="R181" s="4" t="n">
        <f aca="false">Q181-MAX(0,MAX($Q$2:Q181))</f>
        <v>0</v>
      </c>
    </row>
    <row r="182" customFormat="false" ht="15" hidden="false" customHeight="false" outlineLevel="0" collapsed="false">
      <c r="A182" s="7" t="n">
        <v>44511</v>
      </c>
      <c r="B182" s="8" t="n">
        <f aca="false">YEAR(A182)</f>
        <v>2021</v>
      </c>
      <c r="C182" s="8" t="n">
        <f aca="false">MONTH(A182)</f>
        <v>11</v>
      </c>
      <c r="D182" s="8" t="s">
        <v>36</v>
      </c>
      <c r="E182" s="9" t="n">
        <v>17967.4</v>
      </c>
      <c r="F182" s="10" t="n">
        <v>16.31</v>
      </c>
      <c r="G182" s="11" t="n">
        <v>120.2</v>
      </c>
      <c r="H182" s="4" t="n">
        <v>2674</v>
      </c>
      <c r="I182" s="8" t="n">
        <v>1</v>
      </c>
      <c r="J182" s="11" t="n">
        <v>119.1</v>
      </c>
      <c r="K182" s="4" t="n">
        <v>3266</v>
      </c>
      <c r="L182" s="8" t="n">
        <v>1</v>
      </c>
      <c r="M182" s="11" t="n">
        <v>112.6</v>
      </c>
      <c r="N182" s="4" t="n">
        <v>1828</v>
      </c>
      <c r="O182" s="8" t="n">
        <v>1</v>
      </c>
      <c r="P182" s="4" t="n">
        <f aca="false">H182+K182+N182</f>
        <v>7768</v>
      </c>
      <c r="Q182" s="4" t="n">
        <f aca="false">Q181+P182</f>
        <v>392366</v>
      </c>
      <c r="R182" s="4" t="n">
        <f aca="false">Q182-MAX(0,MAX($Q$2:Q182))</f>
        <v>0</v>
      </c>
    </row>
    <row r="183" customFormat="false" ht="15" hidden="false" customHeight="false" outlineLevel="0" collapsed="false">
      <c r="A183" s="7" t="n">
        <v>44518</v>
      </c>
      <c r="B183" s="8" t="n">
        <f aca="false">YEAR(A183)</f>
        <v>2021</v>
      </c>
      <c r="C183" s="8" t="n">
        <f aca="false">MONTH(A183)</f>
        <v>11</v>
      </c>
      <c r="D183" s="8" t="s">
        <v>36</v>
      </c>
      <c r="E183" s="9" t="n">
        <v>17890.6</v>
      </c>
      <c r="F183" s="10" t="n">
        <v>14.98</v>
      </c>
      <c r="G183" s="11" t="n">
        <v>115.6</v>
      </c>
      <c r="H183" s="4" t="n">
        <v>1732</v>
      </c>
      <c r="I183" s="8" t="n">
        <v>1</v>
      </c>
      <c r="J183" s="11" t="n">
        <v>112.4</v>
      </c>
      <c r="K183" s="4" t="n">
        <v>2470</v>
      </c>
      <c r="L183" s="8" t="n">
        <v>1</v>
      </c>
      <c r="M183" s="11" t="n">
        <v>107.9</v>
      </c>
      <c r="N183" s="4" t="n">
        <v>1640</v>
      </c>
      <c r="O183" s="8" t="n">
        <v>1</v>
      </c>
      <c r="P183" s="4" t="n">
        <f aca="false">H183+K183+N183</f>
        <v>5842</v>
      </c>
      <c r="Q183" s="4" t="n">
        <f aca="false">Q182+P183</f>
        <v>398208</v>
      </c>
      <c r="R183" s="4" t="n">
        <f aca="false">Q183-MAX(0,MAX($Q$2:Q183))</f>
        <v>0</v>
      </c>
    </row>
    <row r="184" customFormat="false" ht="15" hidden="false" customHeight="false" outlineLevel="0" collapsed="false">
      <c r="A184" s="7" t="n">
        <v>44525</v>
      </c>
      <c r="B184" s="8" t="n">
        <f aca="false">YEAR(A184)</f>
        <v>2021</v>
      </c>
      <c r="C184" s="8" t="n">
        <f aca="false">MONTH(A184)</f>
        <v>11</v>
      </c>
      <c r="D184" s="8" t="s">
        <v>36</v>
      </c>
      <c r="E184" s="9" t="n">
        <v>17417.3</v>
      </c>
      <c r="F184" s="10" t="n">
        <v>17.1</v>
      </c>
      <c r="G184" s="11" t="n">
        <v>92.2</v>
      </c>
      <c r="H184" s="4" t="n">
        <v>-2112</v>
      </c>
      <c r="I184" s="8" t="n">
        <v>2</v>
      </c>
      <c r="J184" s="11" t="n">
        <v>90.3</v>
      </c>
      <c r="K184" s="4" t="n">
        <v>-2073</v>
      </c>
      <c r="L184" s="8" t="n">
        <v>2</v>
      </c>
      <c r="M184" s="11" t="n">
        <v>86.6</v>
      </c>
      <c r="N184" s="4" t="n">
        <v>1108</v>
      </c>
      <c r="O184" s="8" t="n">
        <v>1</v>
      </c>
      <c r="P184" s="4" t="n">
        <f aca="false">H184+K184+N184</f>
        <v>-3077</v>
      </c>
      <c r="Q184" s="4" t="n">
        <f aca="false">Q183+P184</f>
        <v>395131</v>
      </c>
      <c r="R184" s="4" t="n">
        <f aca="false">Q184-MAX(0,MAX($Q$2:Q184))</f>
        <v>-3077</v>
      </c>
    </row>
    <row r="185" customFormat="false" ht="15" hidden="false" customHeight="false" outlineLevel="0" collapsed="false">
      <c r="A185" s="7" t="n">
        <v>44532</v>
      </c>
      <c r="B185" s="8" t="n">
        <f aca="false">YEAR(A185)</f>
        <v>2021</v>
      </c>
      <c r="C185" s="8" t="n">
        <f aca="false">MONTH(A185)</f>
        <v>12</v>
      </c>
      <c r="D185" s="8" t="s">
        <v>36</v>
      </c>
      <c r="E185" s="9" t="n">
        <v>17183.2</v>
      </c>
      <c r="F185" s="10" t="n">
        <v>19.45</v>
      </c>
      <c r="G185" s="11" t="n">
        <v>138.2</v>
      </c>
      <c r="H185" s="4" t="n">
        <v>3467</v>
      </c>
      <c r="I185" s="8" t="n">
        <v>1</v>
      </c>
      <c r="J185" s="11" t="n">
        <v>136</v>
      </c>
      <c r="K185" s="4" t="n">
        <v>2108</v>
      </c>
      <c r="L185" s="8" t="n">
        <v>1</v>
      </c>
      <c r="M185" s="11" t="n">
        <v>129.6</v>
      </c>
      <c r="N185" s="4" t="n">
        <v>2408</v>
      </c>
      <c r="O185" s="8" t="n">
        <v>1</v>
      </c>
      <c r="P185" s="4" t="n">
        <f aca="false">H185+K185+N185</f>
        <v>7983</v>
      </c>
      <c r="Q185" s="4" t="n">
        <f aca="false">Q184+P185</f>
        <v>403114</v>
      </c>
      <c r="R185" s="4" t="n">
        <f aca="false">Q185-MAX(0,MAX($Q$2:Q185))</f>
        <v>0</v>
      </c>
    </row>
    <row r="186" customFormat="false" ht="15" hidden="false" customHeight="false" outlineLevel="0" collapsed="false">
      <c r="A186" s="7" t="n">
        <v>44539</v>
      </c>
      <c r="B186" s="8" t="n">
        <f aca="false">YEAR(A186)</f>
        <v>2021</v>
      </c>
      <c r="C186" s="8" t="n">
        <f aca="false">MONTH(A186)</f>
        <v>12</v>
      </c>
      <c r="D186" s="8" t="s">
        <v>36</v>
      </c>
      <c r="E186" s="9" t="n">
        <v>17524.4</v>
      </c>
      <c r="F186" s="10" t="n">
        <v>17.27</v>
      </c>
      <c r="G186" s="11" t="n">
        <v>90.9</v>
      </c>
      <c r="H186" s="4" t="n">
        <v>-21</v>
      </c>
      <c r="I186" s="8" t="n">
        <v>1</v>
      </c>
      <c r="J186" s="11" t="n">
        <v>88.6</v>
      </c>
      <c r="K186" s="4" t="n">
        <v>-2038</v>
      </c>
      <c r="L186" s="8" t="n">
        <v>2</v>
      </c>
      <c r="M186" s="11" t="n">
        <v>85.1</v>
      </c>
      <c r="N186" s="4" t="n">
        <v>-1966</v>
      </c>
      <c r="O186" s="8" t="n">
        <v>2</v>
      </c>
      <c r="P186" s="4" t="n">
        <f aca="false">H186+K186+N186</f>
        <v>-4025</v>
      </c>
      <c r="Q186" s="4" t="n">
        <f aca="false">Q185+P186</f>
        <v>399089</v>
      </c>
      <c r="R186" s="4" t="n">
        <f aca="false">Q186-MAX(0,MAX($Q$2:Q186))</f>
        <v>-4025</v>
      </c>
    </row>
    <row r="187" customFormat="false" ht="15" hidden="false" customHeight="false" outlineLevel="0" collapsed="false">
      <c r="A187" s="7" t="n">
        <v>44546</v>
      </c>
      <c r="B187" s="8" t="n">
        <f aca="false">YEAR(A187)</f>
        <v>2021</v>
      </c>
      <c r="C187" s="8" t="n">
        <f aca="false">MONTH(A187)</f>
        <v>12</v>
      </c>
      <c r="D187" s="8" t="s">
        <v>36</v>
      </c>
      <c r="E187" s="9" t="n">
        <v>17373</v>
      </c>
      <c r="F187" s="10" t="n">
        <v>17.22</v>
      </c>
      <c r="G187" s="11" t="n">
        <v>103</v>
      </c>
      <c r="H187" s="4" t="n">
        <v>2203</v>
      </c>
      <c r="I187" s="8" t="n">
        <v>1</v>
      </c>
      <c r="J187" s="11" t="n">
        <v>101.1</v>
      </c>
      <c r="K187" s="4" t="n">
        <v>2349</v>
      </c>
      <c r="L187" s="8" t="n">
        <v>1</v>
      </c>
      <c r="M187" s="11" t="n">
        <v>96.3</v>
      </c>
      <c r="N187" s="4" t="n">
        <v>-2195</v>
      </c>
      <c r="O187" s="8" t="n">
        <v>2</v>
      </c>
      <c r="P187" s="4" t="n">
        <f aca="false">H187+K187+N187</f>
        <v>2357</v>
      </c>
      <c r="Q187" s="4" t="n">
        <f aca="false">Q186+P187</f>
        <v>401446</v>
      </c>
      <c r="R187" s="4" t="n">
        <f aca="false">Q187-MAX(0,MAX($Q$2:Q187))</f>
        <v>-1668</v>
      </c>
    </row>
    <row r="188" customFormat="false" ht="15" hidden="false" customHeight="false" outlineLevel="0" collapsed="false">
      <c r="A188" s="7" t="n">
        <v>44553</v>
      </c>
      <c r="B188" s="8" t="n">
        <f aca="false">YEAR(A188)</f>
        <v>2021</v>
      </c>
      <c r="C188" s="8" t="n">
        <f aca="false">MONTH(A188)</f>
        <v>12</v>
      </c>
      <c r="D188" s="8" t="s">
        <v>36</v>
      </c>
      <c r="E188" s="9" t="n">
        <v>17066.8</v>
      </c>
      <c r="F188" s="10" t="n">
        <v>16.58</v>
      </c>
      <c r="G188" s="11" t="n">
        <v>114.7</v>
      </c>
      <c r="H188" s="4" t="n">
        <v>2328</v>
      </c>
      <c r="I188" s="8" t="n">
        <v>1</v>
      </c>
      <c r="J188" s="11" t="n">
        <v>113.1</v>
      </c>
      <c r="K188" s="4" t="n">
        <v>1684</v>
      </c>
      <c r="L188" s="8" t="n">
        <v>1</v>
      </c>
      <c r="M188" s="11" t="n">
        <v>108.3</v>
      </c>
      <c r="N188" s="4" t="n">
        <v>1405</v>
      </c>
      <c r="O188" s="8" t="n">
        <v>1</v>
      </c>
      <c r="P188" s="4" t="n">
        <f aca="false">H188+K188+N188</f>
        <v>5417</v>
      </c>
      <c r="Q188" s="4" t="n">
        <f aca="false">Q187+P188</f>
        <v>406863</v>
      </c>
      <c r="R188" s="4" t="n">
        <f aca="false">Q188-MAX(0,MAX($Q$2:Q188))</f>
        <v>0</v>
      </c>
    </row>
    <row r="189" customFormat="false" ht="15" hidden="false" customHeight="false" outlineLevel="0" collapsed="false">
      <c r="A189" s="7" t="n">
        <v>44560</v>
      </c>
      <c r="B189" s="8" t="n">
        <f aca="false">YEAR(A189)</f>
        <v>2021</v>
      </c>
      <c r="C189" s="8" t="n">
        <f aca="false">MONTH(A189)</f>
        <v>12</v>
      </c>
      <c r="D189" s="8" t="s">
        <v>36</v>
      </c>
      <c r="E189" s="9" t="n">
        <v>17201.4</v>
      </c>
      <c r="F189" s="10" t="n">
        <v>16.24</v>
      </c>
      <c r="G189" s="11" t="n">
        <v>117.4</v>
      </c>
      <c r="H189" s="4" t="n">
        <v>1385</v>
      </c>
      <c r="I189" s="8" t="n">
        <v>1</v>
      </c>
      <c r="J189" s="11" t="n">
        <v>115.4</v>
      </c>
      <c r="K189" s="4" t="n">
        <v>1290</v>
      </c>
      <c r="L189" s="8" t="n">
        <v>1</v>
      </c>
      <c r="M189" s="11" t="n">
        <v>110.3</v>
      </c>
      <c r="N189" s="4" t="n">
        <v>4240</v>
      </c>
      <c r="O189" s="8" t="n">
        <v>0</v>
      </c>
      <c r="P189" s="4" t="n">
        <f aca="false">H189+K189+N189</f>
        <v>6915</v>
      </c>
      <c r="Q189" s="4" t="n">
        <f aca="false">Q188+P189</f>
        <v>413778</v>
      </c>
      <c r="R189" s="4" t="n">
        <f aca="false">Q189-MAX(0,MAX($Q$2:Q189))</f>
        <v>0</v>
      </c>
    </row>
    <row r="190" customFormat="false" ht="15" hidden="false" customHeight="false" outlineLevel="0" collapsed="false">
      <c r="A190" s="7" t="n">
        <v>44567</v>
      </c>
      <c r="B190" s="8" t="n">
        <f aca="false">YEAR(A190)</f>
        <v>2022</v>
      </c>
      <c r="C190" s="8" t="n">
        <f aca="false">MONTH(A190)</f>
        <v>1</v>
      </c>
      <c r="D190" s="8" t="s">
        <v>36</v>
      </c>
      <c r="E190" s="9" t="n">
        <v>17768.5</v>
      </c>
      <c r="F190" s="10" t="n">
        <v>17.23</v>
      </c>
      <c r="G190" s="11" t="n">
        <v>128</v>
      </c>
      <c r="H190" s="4" t="n">
        <v>2675</v>
      </c>
      <c r="I190" s="8" t="n">
        <v>1</v>
      </c>
      <c r="J190" s="11" t="n">
        <v>124.9</v>
      </c>
      <c r="K190" s="4" t="n">
        <v>2730</v>
      </c>
      <c r="L190" s="8" t="n">
        <v>1</v>
      </c>
      <c r="M190" s="11" t="n">
        <v>120</v>
      </c>
      <c r="N190" s="4" t="n">
        <v>1421</v>
      </c>
      <c r="O190" s="8" t="n">
        <v>1</v>
      </c>
      <c r="P190" s="4" t="n">
        <f aca="false">H190+K190+N190</f>
        <v>6826</v>
      </c>
      <c r="Q190" s="4" t="n">
        <f aca="false">Q189+P190</f>
        <v>420604</v>
      </c>
      <c r="R190" s="4" t="n">
        <f aca="false">Q190-MAX(0,MAX($Q$2:Q190))</f>
        <v>0</v>
      </c>
    </row>
    <row r="191" customFormat="false" ht="15" hidden="false" customHeight="false" outlineLevel="0" collapsed="false">
      <c r="A191" s="7" t="n">
        <v>44574</v>
      </c>
      <c r="B191" s="8" t="n">
        <f aca="false">YEAR(A191)</f>
        <v>2022</v>
      </c>
      <c r="C191" s="8" t="n">
        <f aca="false">MONTH(A191)</f>
        <v>1</v>
      </c>
      <c r="D191" s="8" t="s">
        <v>36</v>
      </c>
      <c r="E191" s="9" t="n">
        <v>18257</v>
      </c>
      <c r="F191" s="10" t="n">
        <v>17.18</v>
      </c>
      <c r="G191" s="11" t="n">
        <v>95.6</v>
      </c>
      <c r="H191" s="4" t="n">
        <v>-2182</v>
      </c>
      <c r="I191" s="8" t="n">
        <v>2</v>
      </c>
      <c r="J191" s="11" t="n">
        <v>92.1</v>
      </c>
      <c r="K191" s="4" t="n">
        <v>899</v>
      </c>
      <c r="L191" s="8" t="n">
        <v>1</v>
      </c>
      <c r="M191" s="11" t="n">
        <v>88</v>
      </c>
      <c r="N191" s="4" t="n">
        <v>-2026</v>
      </c>
      <c r="O191" s="8" t="n">
        <v>2</v>
      </c>
      <c r="P191" s="4" t="n">
        <f aca="false">H191+K191+N191</f>
        <v>-3309</v>
      </c>
      <c r="Q191" s="4" t="n">
        <f aca="false">Q190+P191</f>
        <v>417295</v>
      </c>
      <c r="R191" s="4" t="n">
        <f aca="false">Q191-MAX(0,MAX($Q$2:Q191))</f>
        <v>-3309</v>
      </c>
    </row>
    <row r="192" customFormat="false" ht="15" hidden="false" customHeight="false" outlineLevel="0" collapsed="false">
      <c r="A192" s="7" t="n">
        <v>44581</v>
      </c>
      <c r="B192" s="8" t="n">
        <f aca="false">YEAR(A192)</f>
        <v>2022</v>
      </c>
      <c r="C192" s="8" t="n">
        <f aca="false">MONTH(A192)</f>
        <v>1</v>
      </c>
      <c r="D192" s="8" t="s">
        <v>36</v>
      </c>
      <c r="E192" s="9" t="n">
        <v>17921</v>
      </c>
      <c r="F192" s="10" t="n">
        <v>17.82</v>
      </c>
      <c r="G192" s="11" t="n">
        <v>133.7</v>
      </c>
      <c r="H192" s="4" t="n">
        <v>2776</v>
      </c>
      <c r="I192" s="8" t="n">
        <v>1</v>
      </c>
      <c r="J192" s="11" t="n">
        <v>131.5</v>
      </c>
      <c r="K192" s="4" t="n">
        <v>3006</v>
      </c>
      <c r="L192" s="8" t="n">
        <v>1</v>
      </c>
      <c r="M192" s="11" t="n">
        <v>125.6</v>
      </c>
      <c r="N192" s="4" t="n">
        <v>2965</v>
      </c>
      <c r="O192" s="8" t="n">
        <v>1</v>
      </c>
      <c r="P192" s="4" t="n">
        <f aca="false">H192+K192+N192</f>
        <v>8747</v>
      </c>
      <c r="Q192" s="4" t="n">
        <f aca="false">Q191+P192</f>
        <v>426042</v>
      </c>
      <c r="R192" s="4" t="n">
        <f aca="false">Q192-MAX(0,MAX($Q$2:Q192))</f>
        <v>0</v>
      </c>
    </row>
    <row r="193" customFormat="false" ht="15" hidden="false" customHeight="false" outlineLevel="0" collapsed="false">
      <c r="A193" s="7" t="n">
        <v>44588</v>
      </c>
      <c r="B193" s="8" t="n">
        <f aca="false">YEAR(A193)</f>
        <v>2022</v>
      </c>
      <c r="C193" s="8" t="n">
        <f aca="false">MONTH(A193)</f>
        <v>1</v>
      </c>
      <c r="D193" s="8" t="s">
        <v>36</v>
      </c>
      <c r="E193" s="9" t="n">
        <v>17062</v>
      </c>
      <c r="F193" s="10" t="n">
        <v>21.36</v>
      </c>
      <c r="G193" s="11" t="n">
        <v>147.7</v>
      </c>
      <c r="H193" s="4" t="n">
        <v>-3249</v>
      </c>
      <c r="I193" s="8" t="n">
        <v>2</v>
      </c>
      <c r="J193" s="11" t="n">
        <v>144.6</v>
      </c>
      <c r="K193" s="4" t="n">
        <v>-3185</v>
      </c>
      <c r="L193" s="8" t="n">
        <v>2</v>
      </c>
      <c r="M193" s="11" t="n">
        <v>138.9</v>
      </c>
      <c r="N193" s="4" t="n">
        <v>-3067</v>
      </c>
      <c r="O193" s="8" t="n">
        <v>2</v>
      </c>
      <c r="P193" s="4" t="n">
        <f aca="false">H193+K193+N193</f>
        <v>-9501</v>
      </c>
      <c r="Q193" s="4" t="n">
        <f aca="false">Q192+P193</f>
        <v>416541</v>
      </c>
      <c r="R193" s="4" t="n">
        <f aca="false">Q193-MAX(0,MAX($Q$2:Q193))</f>
        <v>-9501</v>
      </c>
    </row>
    <row r="194" customFormat="false" ht="15" hidden="false" customHeight="false" outlineLevel="0" collapsed="false">
      <c r="A194" s="7" t="n">
        <v>44595</v>
      </c>
      <c r="B194" s="8" t="n">
        <f aca="false">YEAR(A194)</f>
        <v>2022</v>
      </c>
      <c r="C194" s="8" t="n">
        <f aca="false">MONTH(A194)</f>
        <v>2</v>
      </c>
      <c r="D194" s="8" t="s">
        <v>36</v>
      </c>
      <c r="E194" s="9" t="n">
        <v>17767.8</v>
      </c>
      <c r="F194" s="10" t="n">
        <v>18.65</v>
      </c>
      <c r="G194" s="11" t="n">
        <v>79.4</v>
      </c>
      <c r="H194" s="4" t="n">
        <v>1574</v>
      </c>
      <c r="I194" s="8" t="n">
        <v>1</v>
      </c>
      <c r="J194" s="11" t="n">
        <v>78.8</v>
      </c>
      <c r="K194" s="4" t="n">
        <v>936</v>
      </c>
      <c r="L194" s="8" t="n">
        <v>1</v>
      </c>
      <c r="M194" s="11" t="n">
        <v>76</v>
      </c>
      <c r="N194" s="4" t="n">
        <v>681</v>
      </c>
      <c r="O194" s="8" t="n">
        <v>1</v>
      </c>
      <c r="P194" s="4" t="n">
        <f aca="false">H194+K194+N194</f>
        <v>3191</v>
      </c>
      <c r="Q194" s="4" t="n">
        <f aca="false">Q193+P194</f>
        <v>419732</v>
      </c>
      <c r="R194" s="4" t="n">
        <f aca="false">Q194-MAX(0,MAX($Q$2:Q194))</f>
        <v>-6310</v>
      </c>
    </row>
    <row r="195" customFormat="false" ht="15" hidden="false" customHeight="false" outlineLevel="0" collapsed="false">
      <c r="A195" s="7" t="n">
        <v>44602</v>
      </c>
      <c r="B195" s="8" t="n">
        <f aca="false">YEAR(A195)</f>
        <v>2022</v>
      </c>
      <c r="C195" s="8" t="n">
        <f aca="false">MONTH(A195)</f>
        <v>2</v>
      </c>
      <c r="D195" s="8" t="s">
        <v>36</v>
      </c>
      <c r="E195" s="9" t="n">
        <v>17554.1</v>
      </c>
      <c r="F195" s="10" t="n">
        <v>18.56</v>
      </c>
      <c r="G195" s="11" t="n">
        <v>111.4</v>
      </c>
      <c r="H195" s="4" t="n">
        <v>-2504</v>
      </c>
      <c r="I195" s="8" t="n">
        <v>2</v>
      </c>
      <c r="J195" s="11" t="n">
        <v>108.9</v>
      </c>
      <c r="K195" s="4" t="n">
        <v>-2453</v>
      </c>
      <c r="L195" s="8" t="n">
        <v>2</v>
      </c>
      <c r="M195" s="11" t="n">
        <v>104</v>
      </c>
      <c r="N195" s="4" t="n">
        <v>1807</v>
      </c>
      <c r="O195" s="8" t="n">
        <v>1</v>
      </c>
      <c r="P195" s="4" t="n">
        <f aca="false">H195+K195+N195</f>
        <v>-3150</v>
      </c>
      <c r="Q195" s="4" t="n">
        <f aca="false">Q194+P195</f>
        <v>416582</v>
      </c>
      <c r="R195" s="4" t="n">
        <f aca="false">Q195-MAX(0,MAX($Q$2:Q195))</f>
        <v>-9460</v>
      </c>
    </row>
    <row r="196" customFormat="false" ht="15" hidden="false" customHeight="false" outlineLevel="0" collapsed="false">
      <c r="A196" s="7" t="n">
        <v>44609</v>
      </c>
      <c r="B196" s="8" t="n">
        <f aca="false">YEAR(A196)</f>
        <v>2022</v>
      </c>
      <c r="C196" s="8" t="n">
        <f aca="false">MONTH(A196)</f>
        <v>2</v>
      </c>
      <c r="D196" s="8" t="s">
        <v>36</v>
      </c>
      <c r="E196" s="9" t="n">
        <v>17396.6</v>
      </c>
      <c r="F196" s="10" t="n">
        <v>20.59</v>
      </c>
      <c r="G196" s="11" t="n">
        <v>139.2</v>
      </c>
      <c r="H196" s="4" t="n">
        <v>2551</v>
      </c>
      <c r="I196" s="8" t="n">
        <v>1</v>
      </c>
      <c r="J196" s="11" t="n">
        <v>136.9</v>
      </c>
      <c r="K196" s="4" t="n">
        <v>-3026</v>
      </c>
      <c r="L196" s="8" t="n">
        <v>2</v>
      </c>
      <c r="M196" s="11" t="n">
        <v>131.4</v>
      </c>
      <c r="N196" s="4" t="n">
        <v>-2915</v>
      </c>
      <c r="O196" s="8" t="n">
        <v>2</v>
      </c>
      <c r="P196" s="4" t="n">
        <f aca="false">H196+K196+N196</f>
        <v>-3390</v>
      </c>
      <c r="Q196" s="4" t="n">
        <f aca="false">Q195+P196</f>
        <v>413192</v>
      </c>
      <c r="R196" s="4" t="n">
        <f aca="false">Q196-MAX(0,MAX($Q$2:Q196))</f>
        <v>-12850</v>
      </c>
    </row>
    <row r="197" customFormat="false" ht="15" hidden="false" customHeight="false" outlineLevel="0" collapsed="false">
      <c r="A197" s="7" t="n">
        <v>44616</v>
      </c>
      <c r="B197" s="8" t="n">
        <f aca="false">YEAR(A197)</f>
        <v>2022</v>
      </c>
      <c r="C197" s="8" t="n">
        <f aca="false">MONTH(A197)</f>
        <v>2</v>
      </c>
      <c r="D197" s="8" t="s">
        <v>36</v>
      </c>
      <c r="E197" s="9" t="n">
        <v>16548.9</v>
      </c>
      <c r="F197" s="10" t="n">
        <v>24.54</v>
      </c>
      <c r="G197" s="11" t="n">
        <v>218.2</v>
      </c>
      <c r="H197" s="4" t="n">
        <v>3787</v>
      </c>
      <c r="I197" s="8" t="n">
        <v>1</v>
      </c>
      <c r="J197" s="11" t="n">
        <v>213.4</v>
      </c>
      <c r="K197" s="4" t="n">
        <v>4956</v>
      </c>
      <c r="L197" s="8" t="n">
        <v>1</v>
      </c>
      <c r="M197" s="11" t="n">
        <v>202.8</v>
      </c>
      <c r="N197" s="4" t="n">
        <v>-4375</v>
      </c>
      <c r="O197" s="8" t="n">
        <v>2</v>
      </c>
      <c r="P197" s="4" t="n">
        <f aca="false">H197+K197+N197</f>
        <v>4368</v>
      </c>
      <c r="Q197" s="4" t="n">
        <f aca="false">Q196+P197</f>
        <v>417560</v>
      </c>
      <c r="R197" s="4" t="n">
        <f aca="false">Q197-MAX(0,MAX($Q$2:Q197))</f>
        <v>-8482</v>
      </c>
    </row>
    <row r="198" customFormat="false" ht="15" hidden="false" customHeight="false" outlineLevel="0" collapsed="false">
      <c r="A198" s="7" t="n">
        <v>44623</v>
      </c>
      <c r="B198" s="8" t="n">
        <f aca="false">YEAR(A198)</f>
        <v>2022</v>
      </c>
      <c r="C198" s="8" t="n">
        <f aca="false">MONTH(A198)</f>
        <v>3</v>
      </c>
      <c r="D198" s="8" t="s">
        <v>36</v>
      </c>
      <c r="E198" s="9" t="n">
        <v>16723.2</v>
      </c>
      <c r="F198" s="10" t="n">
        <v>29.23</v>
      </c>
      <c r="G198" s="11" t="n">
        <v>245.3</v>
      </c>
      <c r="H198" s="4" t="n">
        <v>6337</v>
      </c>
      <c r="I198" s="8" t="n">
        <v>1</v>
      </c>
      <c r="J198" s="11" t="n">
        <v>239.9</v>
      </c>
      <c r="K198" s="4" t="n">
        <v>4850</v>
      </c>
      <c r="L198" s="8" t="n">
        <v>1</v>
      </c>
      <c r="M198" s="11" t="n">
        <v>228.9</v>
      </c>
      <c r="N198" s="4" t="n">
        <v>5000</v>
      </c>
      <c r="O198" s="8" t="n">
        <v>1</v>
      </c>
      <c r="P198" s="4" t="n">
        <f aca="false">H198+K198+N198</f>
        <v>16187</v>
      </c>
      <c r="Q198" s="4" t="n">
        <f aca="false">Q197+P198</f>
        <v>433747</v>
      </c>
      <c r="R198" s="4" t="n">
        <f aca="false">Q198-MAX(0,MAX($Q$2:Q198))</f>
        <v>0</v>
      </c>
    </row>
    <row r="199" customFormat="false" ht="15" hidden="false" customHeight="false" outlineLevel="0" collapsed="false">
      <c r="A199" s="7" t="n">
        <v>44630</v>
      </c>
      <c r="B199" s="8" t="n">
        <f aca="false">YEAR(A199)</f>
        <v>2022</v>
      </c>
      <c r="C199" s="8" t="n">
        <f aca="false">MONTH(A199)</f>
        <v>3</v>
      </c>
      <c r="D199" s="8" t="s">
        <v>36</v>
      </c>
      <c r="E199" s="9" t="n">
        <v>16757.1</v>
      </c>
      <c r="F199" s="10" t="n">
        <v>27.47</v>
      </c>
      <c r="G199" s="11" t="n">
        <v>190.3</v>
      </c>
      <c r="H199" s="4" t="n">
        <v>-4120</v>
      </c>
      <c r="I199" s="8" t="n">
        <v>2</v>
      </c>
      <c r="J199" s="11" t="n">
        <v>186.2</v>
      </c>
      <c r="K199" s="4" t="n">
        <v>-4036</v>
      </c>
      <c r="L199" s="8" t="n">
        <v>2</v>
      </c>
      <c r="M199" s="11" t="n">
        <v>178.6</v>
      </c>
      <c r="N199" s="4" t="n">
        <v>4106</v>
      </c>
      <c r="O199" s="8" t="n">
        <v>1</v>
      </c>
      <c r="P199" s="4" t="n">
        <f aca="false">H199+K199+N199</f>
        <v>-4050</v>
      </c>
      <c r="Q199" s="4" t="n">
        <f aca="false">Q198+P199</f>
        <v>429697</v>
      </c>
      <c r="R199" s="4" t="n">
        <f aca="false">Q199-MAX(0,MAX($Q$2:Q199))</f>
        <v>-4050</v>
      </c>
    </row>
    <row r="200" customFormat="false" ht="15" hidden="false" customHeight="false" outlineLevel="0" collapsed="false">
      <c r="A200" s="7" t="n">
        <v>44637</v>
      </c>
      <c r="B200" s="8" t="n">
        <f aca="false">YEAR(A200)</f>
        <v>2022</v>
      </c>
      <c r="C200" s="8" t="n">
        <f aca="false">MONTH(A200)</f>
        <v>3</v>
      </c>
      <c r="D200" s="8" t="s">
        <v>36</v>
      </c>
      <c r="E200" s="9" t="n">
        <v>17202.9</v>
      </c>
      <c r="F200" s="10" t="n">
        <v>24.12</v>
      </c>
      <c r="G200" s="11" t="n">
        <v>156.2</v>
      </c>
      <c r="H200" s="4" t="n">
        <v>2368</v>
      </c>
      <c r="I200" s="8" t="n">
        <v>1</v>
      </c>
      <c r="J200" s="11" t="n">
        <v>153.3</v>
      </c>
      <c r="K200" s="4" t="n">
        <v>3976</v>
      </c>
      <c r="L200" s="8" t="n">
        <v>1</v>
      </c>
      <c r="M200" s="11" t="n">
        <v>146.8</v>
      </c>
      <c r="N200" s="4" t="n">
        <v>2100</v>
      </c>
      <c r="O200" s="8" t="n">
        <v>1</v>
      </c>
      <c r="P200" s="4" t="n">
        <f aca="false">H200+K200+N200</f>
        <v>8444</v>
      </c>
      <c r="Q200" s="4" t="n">
        <f aca="false">Q199+P200</f>
        <v>438141</v>
      </c>
      <c r="R200" s="4" t="n">
        <f aca="false">Q200-MAX(0,MAX($Q$2:Q200))</f>
        <v>0</v>
      </c>
    </row>
    <row r="201" customFormat="false" ht="15" hidden="false" customHeight="false" outlineLevel="0" collapsed="false">
      <c r="A201" s="7" t="n">
        <v>44644</v>
      </c>
      <c r="B201" s="8" t="n">
        <f aca="false">YEAR(A201)</f>
        <v>2022</v>
      </c>
      <c r="C201" s="8" t="n">
        <f aca="false">MONTH(A201)</f>
        <v>3</v>
      </c>
      <c r="D201" s="8" t="s">
        <v>36</v>
      </c>
      <c r="E201" s="9" t="n">
        <v>17095</v>
      </c>
      <c r="F201" s="10" t="n">
        <v>24.75</v>
      </c>
      <c r="G201" s="11" t="n">
        <v>156.1</v>
      </c>
      <c r="H201" s="4" t="n">
        <v>3490</v>
      </c>
      <c r="I201" s="8" t="n">
        <v>1</v>
      </c>
      <c r="J201" s="11" t="n">
        <v>152.9</v>
      </c>
      <c r="K201" s="4" t="n">
        <v>2690</v>
      </c>
      <c r="L201" s="8" t="n">
        <v>1</v>
      </c>
      <c r="M201" s="11" t="n">
        <v>147.1</v>
      </c>
      <c r="N201" s="4" t="n">
        <v>3164</v>
      </c>
      <c r="O201" s="8" t="n">
        <v>1</v>
      </c>
      <c r="P201" s="4" t="n">
        <f aca="false">H201+K201+N201</f>
        <v>9344</v>
      </c>
      <c r="Q201" s="4" t="n">
        <f aca="false">Q200+P201</f>
        <v>447485</v>
      </c>
      <c r="R201" s="4" t="n">
        <f aca="false">Q201-MAX(0,MAX($Q$2:Q201))</f>
        <v>0</v>
      </c>
    </row>
    <row r="202" customFormat="false" ht="15" hidden="false" customHeight="false" outlineLevel="0" collapsed="false">
      <c r="A202" s="7" t="n">
        <v>44651</v>
      </c>
      <c r="B202" s="8" t="n">
        <f aca="false">YEAR(A202)</f>
        <v>2022</v>
      </c>
      <c r="C202" s="8" t="n">
        <f aca="false">MONTH(A202)</f>
        <v>3</v>
      </c>
      <c r="D202" s="8" t="s">
        <v>36</v>
      </c>
      <c r="E202" s="9" t="n">
        <v>17519.2</v>
      </c>
      <c r="F202" s="10" t="n">
        <v>20.61</v>
      </c>
      <c r="G202" s="11" t="n">
        <v>103.5</v>
      </c>
      <c r="H202" s="4" t="n">
        <v>-2343</v>
      </c>
      <c r="I202" s="8" t="n">
        <v>2</v>
      </c>
      <c r="J202" s="11" t="n">
        <v>100.9</v>
      </c>
      <c r="K202" s="4" t="n">
        <v>1654</v>
      </c>
      <c r="L202" s="8" t="n">
        <v>1</v>
      </c>
      <c r="M202" s="11" t="n">
        <v>96.5</v>
      </c>
      <c r="N202" s="4" t="n">
        <v>1611</v>
      </c>
      <c r="O202" s="8" t="n">
        <v>1</v>
      </c>
      <c r="P202" s="4" t="n">
        <f aca="false">H202+K202+N202</f>
        <v>922</v>
      </c>
      <c r="Q202" s="4" t="n">
        <f aca="false">Q201+P202</f>
        <v>448407</v>
      </c>
      <c r="R202" s="4" t="n">
        <f aca="false">Q202-MAX(0,MAX($Q$2:Q202))</f>
        <v>0</v>
      </c>
    </row>
    <row r="203" customFormat="false" ht="15" hidden="false" customHeight="false" outlineLevel="0" collapsed="false">
      <c r="A203" s="7" t="n">
        <v>44658</v>
      </c>
      <c r="B203" s="8" t="n">
        <f aca="false">YEAR(A203)</f>
        <v>2022</v>
      </c>
      <c r="C203" s="8" t="n">
        <f aca="false">MONTH(A203)</f>
        <v>4</v>
      </c>
      <c r="D203" s="8" t="s">
        <v>36</v>
      </c>
      <c r="E203" s="9" t="n">
        <v>17723.3</v>
      </c>
      <c r="F203" s="10" t="n">
        <v>19.02</v>
      </c>
      <c r="G203" s="11" t="n">
        <v>112.7</v>
      </c>
      <c r="H203" s="4" t="n">
        <v>-2531</v>
      </c>
      <c r="I203" s="8" t="n">
        <v>2</v>
      </c>
      <c r="J203" s="11" t="n">
        <v>109.6</v>
      </c>
      <c r="K203" s="4" t="n">
        <v>-2467</v>
      </c>
      <c r="L203" s="8" t="n">
        <v>2</v>
      </c>
      <c r="M203" s="11" t="n">
        <v>105.9</v>
      </c>
      <c r="N203" s="4" t="n">
        <v>-2392</v>
      </c>
      <c r="O203" s="8" t="n">
        <v>2</v>
      </c>
      <c r="P203" s="4" t="n">
        <f aca="false">H203+K203+N203</f>
        <v>-7390</v>
      </c>
      <c r="Q203" s="4" t="n">
        <f aca="false">Q202+P203</f>
        <v>441017</v>
      </c>
      <c r="R203" s="4" t="n">
        <f aca="false">Q203-MAX(0,MAX($Q$2:Q203))</f>
        <v>-7390</v>
      </c>
    </row>
    <row r="204" customFormat="false" ht="15" hidden="false" customHeight="false" outlineLevel="0" collapsed="false">
      <c r="A204" s="7" t="n">
        <v>44664</v>
      </c>
      <c r="B204" s="8" t="n">
        <f aca="false">YEAR(A204)</f>
        <v>2022</v>
      </c>
      <c r="C204" s="8" t="n">
        <f aca="false">MONTH(A204)</f>
        <v>4</v>
      </c>
      <c r="D204" s="8" t="s">
        <v>37</v>
      </c>
      <c r="E204" s="9" t="n">
        <v>17599.9</v>
      </c>
      <c r="F204" s="10" t="n">
        <v>18.16</v>
      </c>
      <c r="G204" s="11" t="n">
        <v>121.8</v>
      </c>
      <c r="H204" s="4" t="n">
        <v>-2718</v>
      </c>
      <c r="I204" s="8" t="n">
        <v>2</v>
      </c>
      <c r="J204" s="11" t="n">
        <v>119.2</v>
      </c>
      <c r="K204" s="4" t="n">
        <v>2093</v>
      </c>
      <c r="L204" s="8" t="n">
        <v>1</v>
      </c>
      <c r="M204" s="11" t="n">
        <v>114</v>
      </c>
      <c r="N204" s="4" t="n">
        <v>1776</v>
      </c>
      <c r="O204" s="8" t="n">
        <v>1</v>
      </c>
      <c r="P204" s="4" t="n">
        <f aca="false">H204+K204+N204</f>
        <v>1151</v>
      </c>
      <c r="Q204" s="4" t="n">
        <f aca="false">Q203+P204</f>
        <v>442168</v>
      </c>
      <c r="R204" s="4" t="n">
        <f aca="false">Q204-MAX(0,MAX($Q$2:Q204))</f>
        <v>-6239</v>
      </c>
    </row>
    <row r="205" customFormat="false" ht="15" hidden="false" customHeight="false" outlineLevel="0" collapsed="false">
      <c r="A205" s="7" t="n">
        <v>44672</v>
      </c>
      <c r="B205" s="8" t="n">
        <f aca="false">YEAR(A205)</f>
        <v>2022</v>
      </c>
      <c r="C205" s="8" t="n">
        <f aca="false">MONTH(A205)</f>
        <v>4</v>
      </c>
      <c r="D205" s="8" t="s">
        <v>36</v>
      </c>
      <c r="E205" s="9" t="n">
        <v>17234.6</v>
      </c>
      <c r="F205" s="10" t="n">
        <v>18.67</v>
      </c>
      <c r="G205" s="11" t="n">
        <v>106.4</v>
      </c>
      <c r="H205" s="4" t="n">
        <v>2387</v>
      </c>
      <c r="I205" s="8" t="n">
        <v>1</v>
      </c>
      <c r="J205" s="11" t="n">
        <v>104.6</v>
      </c>
      <c r="K205" s="4" t="n">
        <v>2393</v>
      </c>
      <c r="L205" s="8" t="n">
        <v>1</v>
      </c>
      <c r="M205" s="11" t="n">
        <v>100</v>
      </c>
      <c r="N205" s="4" t="n">
        <v>1763</v>
      </c>
      <c r="O205" s="8" t="n">
        <v>1</v>
      </c>
      <c r="P205" s="4" t="n">
        <f aca="false">H205+K205+N205</f>
        <v>6543</v>
      </c>
      <c r="Q205" s="4" t="n">
        <f aca="false">Q204+P205</f>
        <v>448711</v>
      </c>
      <c r="R205" s="4" t="n">
        <f aca="false">Q205-MAX(0,MAX($Q$2:Q205))</f>
        <v>0</v>
      </c>
    </row>
    <row r="206" customFormat="false" ht="15" hidden="false" customHeight="false" outlineLevel="0" collapsed="false">
      <c r="A206" s="7" t="n">
        <v>44679</v>
      </c>
      <c r="B206" s="8" t="n">
        <f aca="false">YEAR(A206)</f>
        <v>2022</v>
      </c>
      <c r="C206" s="8" t="n">
        <f aca="false">MONTH(A206)</f>
        <v>4</v>
      </c>
      <c r="D206" s="8" t="s">
        <v>36</v>
      </c>
      <c r="E206" s="9" t="n">
        <v>17189.5</v>
      </c>
      <c r="F206" s="10" t="n">
        <v>20.61</v>
      </c>
      <c r="G206" s="11" t="n">
        <v>169.8</v>
      </c>
      <c r="H206" s="4" t="n">
        <v>2566</v>
      </c>
      <c r="I206" s="8" t="n">
        <v>1</v>
      </c>
      <c r="J206" s="11" t="n">
        <v>166.2</v>
      </c>
      <c r="K206" s="4" t="n">
        <v>2798</v>
      </c>
      <c r="L206" s="8" t="n">
        <v>1</v>
      </c>
      <c r="M206" s="11" t="n">
        <v>158.9</v>
      </c>
      <c r="N206" s="4" t="n">
        <v>2795</v>
      </c>
      <c r="O206" s="8" t="n">
        <v>1</v>
      </c>
      <c r="P206" s="4" t="n">
        <f aca="false">H206+K206+N206</f>
        <v>8159</v>
      </c>
      <c r="Q206" s="4" t="n">
        <f aca="false">Q205+P206</f>
        <v>456870</v>
      </c>
      <c r="R206" s="4" t="n">
        <f aca="false">Q206-MAX(0,MAX($Q$2:Q206))</f>
        <v>0</v>
      </c>
    </row>
    <row r="207" customFormat="false" ht="15" hidden="false" customHeight="false" outlineLevel="0" collapsed="false">
      <c r="A207" s="7" t="n">
        <v>44686</v>
      </c>
      <c r="B207" s="8" t="n">
        <f aca="false">YEAR(A207)</f>
        <v>2022</v>
      </c>
      <c r="C207" s="8" t="n">
        <f aca="false">MONTH(A207)</f>
        <v>5</v>
      </c>
      <c r="D207" s="8" t="s">
        <v>36</v>
      </c>
      <c r="E207" s="9" t="n">
        <v>16854.8</v>
      </c>
      <c r="F207" s="10" t="n">
        <v>21.88</v>
      </c>
      <c r="G207" s="11" t="n">
        <v>146.7</v>
      </c>
      <c r="H207" s="4" t="n">
        <v>-3228</v>
      </c>
      <c r="I207" s="8" t="n">
        <v>2</v>
      </c>
      <c r="J207" s="11" t="n">
        <v>145.9</v>
      </c>
      <c r="K207" s="4" t="n">
        <v>-3211</v>
      </c>
      <c r="L207" s="8" t="n">
        <v>2</v>
      </c>
      <c r="M207" s="11" t="n">
        <v>139.4</v>
      </c>
      <c r="N207" s="4" t="n">
        <v>-3078</v>
      </c>
      <c r="O207" s="8" t="n">
        <v>2</v>
      </c>
      <c r="P207" s="4" t="n">
        <f aca="false">H207+K207+N207</f>
        <v>-9517</v>
      </c>
      <c r="Q207" s="4" t="n">
        <f aca="false">Q206+P207</f>
        <v>447353</v>
      </c>
      <c r="R207" s="4" t="n">
        <f aca="false">Q207-MAX(0,MAX($Q$2:Q207))</f>
        <v>-9517</v>
      </c>
    </row>
    <row r="208" customFormat="false" ht="15" hidden="false" customHeight="false" outlineLevel="0" collapsed="false">
      <c r="A208" s="7" t="n">
        <v>44693</v>
      </c>
      <c r="B208" s="8" t="n">
        <f aca="false">YEAR(A208)</f>
        <v>2022</v>
      </c>
      <c r="C208" s="8" t="n">
        <f aca="false">MONTH(A208)</f>
        <v>5</v>
      </c>
      <c r="D208" s="8" t="s">
        <v>36</v>
      </c>
      <c r="E208" s="9" t="n">
        <v>16021.1</v>
      </c>
      <c r="F208" s="10" t="n">
        <v>22.8</v>
      </c>
      <c r="G208" s="11" t="n">
        <v>131.7</v>
      </c>
      <c r="H208" s="4" t="n">
        <v>3927</v>
      </c>
      <c r="I208" s="8" t="n">
        <v>1</v>
      </c>
      <c r="J208" s="11" t="n">
        <v>127.5</v>
      </c>
      <c r="K208" s="4" t="n">
        <v>3022</v>
      </c>
      <c r="L208" s="8" t="n">
        <v>1</v>
      </c>
      <c r="M208" s="11" t="n">
        <v>121.8</v>
      </c>
      <c r="N208" s="4" t="n">
        <v>2670</v>
      </c>
      <c r="O208" s="8" t="n">
        <v>1</v>
      </c>
      <c r="P208" s="4" t="n">
        <f aca="false">H208+K208+N208</f>
        <v>9619</v>
      </c>
      <c r="Q208" s="4" t="n">
        <f aca="false">Q207+P208</f>
        <v>456972</v>
      </c>
      <c r="R208" s="4" t="n">
        <f aca="false">Q208-MAX(0,MAX($Q$2:Q208))</f>
        <v>0</v>
      </c>
    </row>
    <row r="209" customFormat="false" ht="15" hidden="false" customHeight="false" outlineLevel="0" collapsed="false">
      <c r="A209" s="7" t="n">
        <v>44700</v>
      </c>
      <c r="B209" s="8" t="n">
        <f aca="false">YEAR(A209)</f>
        <v>2022</v>
      </c>
      <c r="C209" s="8" t="n">
        <f aca="false">MONTH(A209)</f>
        <v>5</v>
      </c>
      <c r="D209" s="8" t="s">
        <v>36</v>
      </c>
      <c r="E209" s="9" t="n">
        <v>15917.4</v>
      </c>
      <c r="F209" s="10" t="n">
        <v>22.3</v>
      </c>
      <c r="G209" s="11" t="n">
        <v>127.4</v>
      </c>
      <c r="H209" s="4" t="n">
        <v>2039</v>
      </c>
      <c r="I209" s="8" t="n">
        <v>1</v>
      </c>
      <c r="J209" s="11" t="n">
        <v>124.7</v>
      </c>
      <c r="K209" s="4" t="n">
        <v>2378</v>
      </c>
      <c r="L209" s="8" t="n">
        <v>1</v>
      </c>
      <c r="M209" s="11" t="n">
        <v>119.4</v>
      </c>
      <c r="N209" s="4" t="n">
        <v>2181</v>
      </c>
      <c r="O209" s="8" t="n">
        <v>1</v>
      </c>
      <c r="P209" s="4" t="n">
        <f aca="false">H209+K209+N209</f>
        <v>6598</v>
      </c>
      <c r="Q209" s="4" t="n">
        <f aca="false">Q208+P209</f>
        <v>463570</v>
      </c>
      <c r="R209" s="4" t="n">
        <f aca="false">Q209-MAX(0,MAX($Q$2:Q209))</f>
        <v>0</v>
      </c>
    </row>
    <row r="210" customFormat="false" ht="15" hidden="false" customHeight="false" outlineLevel="0" collapsed="false">
      <c r="A210" s="7" t="n">
        <v>44707</v>
      </c>
      <c r="B210" s="8" t="n">
        <f aca="false">YEAR(A210)</f>
        <v>2022</v>
      </c>
      <c r="C210" s="8" t="n">
        <f aca="false">MONTH(A210)</f>
        <v>5</v>
      </c>
      <c r="D210" s="8" t="s">
        <v>36</v>
      </c>
      <c r="E210" s="9" t="n">
        <v>16105</v>
      </c>
      <c r="F210" s="10" t="n">
        <v>25.28</v>
      </c>
      <c r="G210" s="11" t="n">
        <v>158.8</v>
      </c>
      <c r="H210" s="4" t="n">
        <v>-3475</v>
      </c>
      <c r="I210" s="8" t="n">
        <v>2</v>
      </c>
      <c r="J210" s="11" t="n">
        <v>156.6</v>
      </c>
      <c r="K210" s="4" t="n">
        <v>-3430</v>
      </c>
      <c r="L210" s="8" t="n">
        <v>2</v>
      </c>
      <c r="M210" s="11" t="n">
        <v>148.7</v>
      </c>
      <c r="N210" s="4" t="n">
        <v>-3268</v>
      </c>
      <c r="O210" s="8" t="n">
        <v>2</v>
      </c>
      <c r="P210" s="4" t="n">
        <f aca="false">H210+K210+N210</f>
        <v>-10173</v>
      </c>
      <c r="Q210" s="4" t="n">
        <f aca="false">Q209+P210</f>
        <v>453397</v>
      </c>
      <c r="R210" s="4" t="n">
        <f aca="false">Q210-MAX(0,MAX($Q$2:Q210))</f>
        <v>-10173</v>
      </c>
    </row>
    <row r="211" customFormat="false" ht="15" hidden="false" customHeight="false" outlineLevel="0" collapsed="false">
      <c r="A211" s="7" t="n">
        <v>44714</v>
      </c>
      <c r="B211" s="8" t="n">
        <f aca="false">YEAR(A211)</f>
        <v>2022</v>
      </c>
      <c r="C211" s="8" t="n">
        <f aca="false">MONTH(A211)</f>
        <v>6</v>
      </c>
      <c r="D211" s="8" t="s">
        <v>36</v>
      </c>
      <c r="E211" s="9" t="n">
        <v>16481.6</v>
      </c>
      <c r="F211" s="10" t="n">
        <v>20.85</v>
      </c>
      <c r="G211" s="11" t="n">
        <v>121.7</v>
      </c>
      <c r="H211" s="4" t="n">
        <v>1455</v>
      </c>
      <c r="I211" s="8" t="n">
        <v>1</v>
      </c>
      <c r="J211" s="11" t="n">
        <v>119.3</v>
      </c>
      <c r="K211" s="4" t="n">
        <v>1630</v>
      </c>
      <c r="L211" s="8" t="n">
        <v>1</v>
      </c>
      <c r="M211" s="11" t="n">
        <v>113.9</v>
      </c>
      <c r="N211" s="4" t="n">
        <v>1681</v>
      </c>
      <c r="O211" s="8" t="n">
        <v>1</v>
      </c>
      <c r="P211" s="4" t="n">
        <f aca="false">H211+K211+N211</f>
        <v>4766</v>
      </c>
      <c r="Q211" s="4" t="n">
        <f aca="false">Q210+P211</f>
        <v>458163</v>
      </c>
      <c r="R211" s="4" t="n">
        <f aca="false">Q211-MAX(0,MAX($Q$2:Q211))</f>
        <v>-5407</v>
      </c>
    </row>
    <row r="212" customFormat="false" ht="15" hidden="false" customHeight="false" outlineLevel="0" collapsed="false">
      <c r="A212" s="7" t="n">
        <v>44721</v>
      </c>
      <c r="B212" s="8" t="n">
        <f aca="false">YEAR(A212)</f>
        <v>2022</v>
      </c>
      <c r="C212" s="8" t="n">
        <f aca="false">MONTH(A212)</f>
        <v>6</v>
      </c>
      <c r="D212" s="8" t="s">
        <v>36</v>
      </c>
      <c r="E212" s="9" t="n">
        <v>16263.8</v>
      </c>
      <c r="F212" s="10" t="n">
        <v>19.84</v>
      </c>
      <c r="G212" s="11" t="n">
        <v>108.7</v>
      </c>
      <c r="H212" s="4" t="n">
        <v>2702</v>
      </c>
      <c r="I212" s="8" t="n">
        <v>1</v>
      </c>
      <c r="J212" s="11" t="n">
        <v>106.8</v>
      </c>
      <c r="K212" s="4" t="n">
        <v>1659</v>
      </c>
      <c r="L212" s="8" t="n">
        <v>1</v>
      </c>
      <c r="M212" s="11" t="n">
        <v>104.3</v>
      </c>
      <c r="N212" s="4" t="n">
        <v>-2360</v>
      </c>
      <c r="O212" s="8" t="n">
        <v>2</v>
      </c>
      <c r="P212" s="4" t="n">
        <f aca="false">H212+K212+N212</f>
        <v>2001</v>
      </c>
      <c r="Q212" s="4" t="n">
        <f aca="false">Q211+P212</f>
        <v>460164</v>
      </c>
      <c r="R212" s="4" t="n">
        <f aca="false">Q212-MAX(0,MAX($Q$2:Q212))</f>
        <v>-3406</v>
      </c>
    </row>
    <row r="213" customFormat="false" ht="15" hidden="false" customHeight="false" outlineLevel="0" collapsed="false">
      <c r="A213" s="7" t="n">
        <v>44728</v>
      </c>
      <c r="B213" s="8" t="n">
        <f aca="false">YEAR(A213)</f>
        <v>2022</v>
      </c>
      <c r="C213" s="8" t="n">
        <f aca="false">MONTH(A213)</f>
        <v>6</v>
      </c>
      <c r="D213" s="8" t="s">
        <v>36</v>
      </c>
      <c r="E213" s="9" t="n">
        <v>15832.2</v>
      </c>
      <c r="F213" s="10" t="n">
        <v>22.15</v>
      </c>
      <c r="G213" s="11" t="n">
        <v>149.4</v>
      </c>
      <c r="H213" s="4" t="n">
        <v>2671</v>
      </c>
      <c r="I213" s="8" t="n">
        <v>1</v>
      </c>
      <c r="J213" s="11" t="n">
        <v>147.3</v>
      </c>
      <c r="K213" s="4" t="n">
        <v>2214</v>
      </c>
      <c r="L213" s="8" t="n">
        <v>1</v>
      </c>
      <c r="M213" s="11" t="n">
        <v>140.5</v>
      </c>
      <c r="N213" s="4" t="n">
        <v>2134</v>
      </c>
      <c r="O213" s="8" t="n">
        <v>1</v>
      </c>
      <c r="P213" s="4" t="n">
        <f aca="false">H213+K213+N213</f>
        <v>7019</v>
      </c>
      <c r="Q213" s="4" t="n">
        <f aca="false">Q212+P213</f>
        <v>467183</v>
      </c>
      <c r="R213" s="4" t="n">
        <f aca="false">Q213-MAX(0,MAX($Q$2:Q213))</f>
        <v>0</v>
      </c>
    </row>
    <row r="214" customFormat="false" ht="15" hidden="false" customHeight="false" outlineLevel="0" collapsed="false">
      <c r="A214" s="7" t="n">
        <v>44735</v>
      </c>
      <c r="B214" s="8" t="n">
        <f aca="false">YEAR(A214)</f>
        <v>2022</v>
      </c>
      <c r="C214" s="8" t="n">
        <f aca="false">MONTH(A214)</f>
        <v>6</v>
      </c>
      <c r="D214" s="8" t="s">
        <v>36</v>
      </c>
      <c r="E214" s="9" t="n">
        <v>15451.6</v>
      </c>
      <c r="F214" s="10" t="n">
        <v>21.3</v>
      </c>
      <c r="G214" s="11" t="n">
        <v>119.7</v>
      </c>
      <c r="H214" s="4" t="n">
        <v>-2674</v>
      </c>
      <c r="I214" s="8" t="n">
        <v>2</v>
      </c>
      <c r="J214" s="11" t="n">
        <v>118.5</v>
      </c>
      <c r="K214" s="4" t="n">
        <v>-2651</v>
      </c>
      <c r="L214" s="8" t="n">
        <v>2</v>
      </c>
      <c r="M214" s="11" t="n">
        <v>113.4</v>
      </c>
      <c r="N214" s="4" t="n">
        <v>-2545</v>
      </c>
      <c r="O214" s="8" t="n">
        <v>2</v>
      </c>
      <c r="P214" s="4" t="n">
        <f aca="false">H214+K214+N214</f>
        <v>-7870</v>
      </c>
      <c r="Q214" s="4" t="n">
        <f aca="false">Q213+P214</f>
        <v>459313</v>
      </c>
      <c r="R214" s="4" t="n">
        <f aca="false">Q214-MAX(0,MAX($Q$2:Q214))</f>
        <v>-7870</v>
      </c>
    </row>
    <row r="215" customFormat="false" ht="15" hidden="false" customHeight="false" outlineLevel="0" collapsed="false">
      <c r="A215" s="7" t="n">
        <v>44742</v>
      </c>
      <c r="B215" s="8" t="n">
        <f aca="false">YEAR(A215)</f>
        <v>2022</v>
      </c>
      <c r="C215" s="8" t="n">
        <f aca="false">MONTH(A215)</f>
        <v>6</v>
      </c>
      <c r="D215" s="8" t="s">
        <v>36</v>
      </c>
      <c r="E215" s="9" t="n">
        <v>15774.5</v>
      </c>
      <c r="F215" s="10" t="n">
        <v>21.9</v>
      </c>
      <c r="G215" s="11" t="n">
        <v>143.8</v>
      </c>
      <c r="H215" s="4" t="n">
        <v>3656</v>
      </c>
      <c r="I215" s="8" t="n">
        <v>1</v>
      </c>
      <c r="J215" s="11" t="n">
        <v>140.7</v>
      </c>
      <c r="K215" s="4" t="n">
        <v>3095</v>
      </c>
      <c r="L215" s="8" t="n">
        <v>1</v>
      </c>
      <c r="M215" s="11" t="n">
        <v>134.9</v>
      </c>
      <c r="N215" s="4" t="n">
        <v>3256</v>
      </c>
      <c r="O215" s="8" t="n">
        <v>1</v>
      </c>
      <c r="P215" s="4" t="n">
        <f aca="false">H215+K215+N215</f>
        <v>10007</v>
      </c>
      <c r="Q215" s="4" t="n">
        <f aca="false">Q214+P215</f>
        <v>469320</v>
      </c>
      <c r="R215" s="4" t="n">
        <f aca="false">Q215-MAX(0,MAX($Q$2:Q215))</f>
        <v>0</v>
      </c>
    </row>
    <row r="216" customFormat="false" ht="15" hidden="false" customHeight="false" outlineLevel="0" collapsed="false">
      <c r="A216" s="7" t="n">
        <v>44749</v>
      </c>
      <c r="B216" s="8" t="n">
        <f aca="false">YEAR(A216)</f>
        <v>2022</v>
      </c>
      <c r="C216" s="8" t="n">
        <f aca="false">MONTH(A216)</f>
        <v>7</v>
      </c>
      <c r="D216" s="8" t="s">
        <v>36</v>
      </c>
      <c r="E216" s="9" t="n">
        <v>16113.8</v>
      </c>
      <c r="F216" s="10" t="n">
        <v>20.27</v>
      </c>
      <c r="G216" s="11" t="n">
        <v>126.1</v>
      </c>
      <c r="H216" s="4" t="n">
        <v>5699</v>
      </c>
      <c r="I216" s="8" t="n">
        <v>0</v>
      </c>
      <c r="J216" s="11" t="n">
        <v>123.7</v>
      </c>
      <c r="K216" s="4" t="n">
        <v>5546</v>
      </c>
      <c r="L216" s="8" t="n">
        <v>0</v>
      </c>
      <c r="M216" s="11" t="n">
        <v>118.4</v>
      </c>
      <c r="N216" s="4" t="n">
        <v>5200</v>
      </c>
      <c r="O216" s="8" t="n">
        <v>0</v>
      </c>
      <c r="P216" s="4" t="n">
        <f aca="false">H216+K216+N216</f>
        <v>16445</v>
      </c>
      <c r="Q216" s="4" t="n">
        <f aca="false">Q215+P216</f>
        <v>485765</v>
      </c>
      <c r="R216" s="4" t="n">
        <f aca="false">Q216-MAX(0,MAX($Q$2:Q216))</f>
        <v>0</v>
      </c>
    </row>
    <row r="217" customFormat="false" ht="15" hidden="false" customHeight="false" outlineLevel="0" collapsed="false">
      <c r="A217" s="7" t="n">
        <v>44756</v>
      </c>
      <c r="B217" s="8" t="n">
        <f aca="false">YEAR(A217)</f>
        <v>2022</v>
      </c>
      <c r="C217" s="8" t="n">
        <f aca="false">MONTH(A217)</f>
        <v>7</v>
      </c>
      <c r="D217" s="8" t="s">
        <v>36</v>
      </c>
      <c r="E217" s="9" t="n">
        <v>16018.8</v>
      </c>
      <c r="F217" s="10" t="n">
        <v>18.52</v>
      </c>
      <c r="G217" s="11" t="n">
        <v>141.5</v>
      </c>
      <c r="H217" s="4" t="n">
        <v>2434</v>
      </c>
      <c r="I217" s="8" t="n">
        <v>1</v>
      </c>
      <c r="J217" s="11" t="n">
        <v>138.7</v>
      </c>
      <c r="K217" s="4" t="n">
        <v>2641</v>
      </c>
      <c r="L217" s="8" t="n">
        <v>1</v>
      </c>
      <c r="M217" s="11" t="n">
        <v>133.6</v>
      </c>
      <c r="N217" s="4" t="n">
        <v>3502</v>
      </c>
      <c r="O217" s="8" t="n">
        <v>1</v>
      </c>
      <c r="P217" s="4" t="n">
        <f aca="false">H217+K217+N217</f>
        <v>8577</v>
      </c>
      <c r="Q217" s="4" t="n">
        <f aca="false">Q216+P217</f>
        <v>494342</v>
      </c>
      <c r="R217" s="4" t="n">
        <f aca="false">Q217-MAX(0,MAX($Q$2:Q217))</f>
        <v>0</v>
      </c>
    </row>
    <row r="218" customFormat="false" ht="15" hidden="false" customHeight="false" outlineLevel="0" collapsed="false">
      <c r="A218" s="7" t="n">
        <v>44763</v>
      </c>
      <c r="B218" s="8" t="n">
        <f aca="false">YEAR(A218)</f>
        <v>2022</v>
      </c>
      <c r="C218" s="8" t="n">
        <f aca="false">MONTH(A218)</f>
        <v>7</v>
      </c>
      <c r="D218" s="8" t="s">
        <v>36</v>
      </c>
      <c r="E218" s="9" t="n">
        <v>16523.6</v>
      </c>
      <c r="F218" s="10" t="n">
        <v>16.82</v>
      </c>
      <c r="G218" s="11" t="n">
        <v>101.8</v>
      </c>
      <c r="H218" s="4" t="n">
        <v>1636</v>
      </c>
      <c r="I218" s="8" t="n">
        <v>1</v>
      </c>
      <c r="J218" s="11" t="n">
        <v>101.1</v>
      </c>
      <c r="K218" s="4" t="n">
        <v>2844</v>
      </c>
      <c r="L218" s="8" t="n">
        <v>1</v>
      </c>
      <c r="M218" s="11" t="n">
        <v>96.9</v>
      </c>
      <c r="N218" s="4" t="n">
        <v>2084</v>
      </c>
      <c r="O218" s="8" t="n">
        <v>0</v>
      </c>
      <c r="P218" s="4" t="n">
        <f aca="false">H218+K218+N218</f>
        <v>6564</v>
      </c>
      <c r="Q218" s="4" t="n">
        <f aca="false">Q217+P218</f>
        <v>500906</v>
      </c>
      <c r="R218" s="4" t="n">
        <f aca="false">Q218-MAX(0,MAX($Q$2:Q218))</f>
        <v>0</v>
      </c>
    </row>
    <row r="219" customFormat="false" ht="15" hidden="false" customHeight="false" outlineLevel="0" collapsed="false">
      <c r="A219" s="7" t="n">
        <v>44770</v>
      </c>
      <c r="B219" s="8" t="n">
        <f aca="false">YEAR(A219)</f>
        <v>2022</v>
      </c>
      <c r="C219" s="8" t="n">
        <f aca="false">MONTH(A219)</f>
        <v>7</v>
      </c>
      <c r="D219" s="8" t="s">
        <v>36</v>
      </c>
      <c r="E219" s="9" t="n">
        <v>16774.8</v>
      </c>
      <c r="F219" s="10" t="n">
        <v>18.13</v>
      </c>
      <c r="G219" s="11" t="n">
        <v>124.4</v>
      </c>
      <c r="H219" s="4" t="n">
        <v>1734</v>
      </c>
      <c r="I219" s="8" t="n">
        <v>1</v>
      </c>
      <c r="J219" s="11" t="n">
        <v>122.2</v>
      </c>
      <c r="K219" s="4" t="n">
        <v>1714</v>
      </c>
      <c r="L219" s="8" t="n">
        <v>1</v>
      </c>
      <c r="M219" s="11" t="n">
        <v>116.8</v>
      </c>
      <c r="N219" s="4" t="n">
        <v>1889</v>
      </c>
      <c r="O219" s="8" t="n">
        <v>1</v>
      </c>
      <c r="P219" s="4" t="n">
        <f aca="false">H219+K219+N219</f>
        <v>5337</v>
      </c>
      <c r="Q219" s="4" t="n">
        <f aca="false">Q218+P219</f>
        <v>506243</v>
      </c>
      <c r="R219" s="4" t="n">
        <f aca="false">Q219-MAX(0,MAX($Q$2:Q219))</f>
        <v>0</v>
      </c>
    </row>
    <row r="220" customFormat="false" ht="15" hidden="false" customHeight="false" outlineLevel="0" collapsed="false">
      <c r="A220" s="7" t="n">
        <v>44777</v>
      </c>
      <c r="B220" s="8" t="n">
        <f aca="false">YEAR(A220)</f>
        <v>2022</v>
      </c>
      <c r="C220" s="8" t="n">
        <f aca="false">MONTH(A220)</f>
        <v>8</v>
      </c>
      <c r="D220" s="8" t="s">
        <v>36</v>
      </c>
      <c r="E220" s="9" t="n">
        <v>17463.1</v>
      </c>
      <c r="F220" s="10" t="n">
        <v>18.45</v>
      </c>
      <c r="G220" s="11" t="n">
        <v>108.4</v>
      </c>
      <c r="H220" s="4" t="n">
        <v>2868</v>
      </c>
      <c r="I220" s="8" t="n">
        <v>1</v>
      </c>
      <c r="J220" s="11" t="n">
        <v>106.8</v>
      </c>
      <c r="K220" s="4" t="n">
        <v>2940</v>
      </c>
      <c r="L220" s="8" t="n">
        <v>1</v>
      </c>
      <c r="M220" s="11" t="n">
        <v>101.8</v>
      </c>
      <c r="N220" s="4" t="n">
        <v>2641</v>
      </c>
      <c r="O220" s="8" t="n">
        <v>1</v>
      </c>
      <c r="P220" s="4" t="n">
        <f aca="false">H220+K220+N220</f>
        <v>8449</v>
      </c>
      <c r="Q220" s="4" t="n">
        <f aca="false">Q219+P220</f>
        <v>514692</v>
      </c>
      <c r="R220" s="4" t="n">
        <f aca="false">Q220-MAX(0,MAX($Q$2:Q220))</f>
        <v>0</v>
      </c>
    </row>
    <row r="221" customFormat="false" ht="15" hidden="false" customHeight="false" outlineLevel="0" collapsed="false">
      <c r="A221" s="7" t="n">
        <v>44784</v>
      </c>
      <c r="B221" s="8" t="n">
        <f aca="false">YEAR(A221)</f>
        <v>2022</v>
      </c>
      <c r="C221" s="8" t="n">
        <f aca="false">MONTH(A221)</f>
        <v>8</v>
      </c>
      <c r="D221" s="8" t="s">
        <v>36</v>
      </c>
      <c r="E221" s="9" t="n">
        <v>17711.6</v>
      </c>
      <c r="F221" s="10" t="n">
        <v>19.59</v>
      </c>
      <c r="G221" s="11" t="n">
        <v>86.6</v>
      </c>
      <c r="H221" s="4" t="n">
        <v>1300</v>
      </c>
      <c r="I221" s="8" t="n">
        <v>1</v>
      </c>
      <c r="J221" s="11" t="n">
        <v>86.2</v>
      </c>
      <c r="K221" s="4" t="n">
        <v>842</v>
      </c>
      <c r="L221" s="8" t="n">
        <v>1</v>
      </c>
      <c r="M221" s="11" t="n">
        <v>81.7</v>
      </c>
      <c r="N221" s="4" t="n">
        <v>1058</v>
      </c>
      <c r="O221" s="8" t="n">
        <v>1</v>
      </c>
      <c r="P221" s="4" t="n">
        <f aca="false">H221+K221+N221</f>
        <v>3200</v>
      </c>
      <c r="Q221" s="4" t="n">
        <f aca="false">Q220+P221</f>
        <v>517892</v>
      </c>
      <c r="R221" s="4" t="n">
        <f aca="false">Q221-MAX(0,MAX($Q$2:Q221))</f>
        <v>0</v>
      </c>
    </row>
    <row r="222" customFormat="false" ht="15" hidden="false" customHeight="false" outlineLevel="0" collapsed="false">
      <c r="A222" s="7" t="n">
        <v>44791</v>
      </c>
      <c r="B222" s="8" t="n">
        <f aca="false">YEAR(A222)</f>
        <v>2022</v>
      </c>
      <c r="C222" s="8" t="n">
        <f aca="false">MONTH(A222)</f>
        <v>8</v>
      </c>
      <c r="D222" s="8" t="s">
        <v>36</v>
      </c>
      <c r="E222" s="9" t="n">
        <v>17898.6</v>
      </c>
      <c r="F222" s="10" t="n">
        <v>17.68</v>
      </c>
      <c r="G222" s="11" t="n">
        <v>118.2</v>
      </c>
      <c r="H222" s="4" t="n">
        <v>-2643</v>
      </c>
      <c r="I222" s="8" t="n">
        <v>2</v>
      </c>
      <c r="J222" s="11" t="n">
        <v>116.3</v>
      </c>
      <c r="K222" s="4" t="n">
        <v>2969</v>
      </c>
      <c r="L222" s="8" t="n">
        <v>1</v>
      </c>
      <c r="M222" s="11" t="n">
        <v>111.1</v>
      </c>
      <c r="N222" s="4" t="n">
        <v>1345</v>
      </c>
      <c r="O222" s="8" t="n">
        <v>1</v>
      </c>
      <c r="P222" s="4" t="n">
        <f aca="false">H222+K222+N222</f>
        <v>1671</v>
      </c>
      <c r="Q222" s="4" t="n">
        <f aca="false">Q221+P222</f>
        <v>519563</v>
      </c>
      <c r="R222" s="4" t="n">
        <f aca="false">Q222-MAX(0,MAX($Q$2:Q222))</f>
        <v>0</v>
      </c>
    </row>
    <row r="223" customFormat="false" ht="15" hidden="false" customHeight="false" outlineLevel="0" collapsed="false">
      <c r="A223" s="7" t="n">
        <v>44798</v>
      </c>
      <c r="B223" s="8" t="n">
        <f aca="false">YEAR(A223)</f>
        <v>2022</v>
      </c>
      <c r="C223" s="8" t="n">
        <f aca="false">MONTH(A223)</f>
        <v>8</v>
      </c>
      <c r="D223" s="8" t="s">
        <v>36</v>
      </c>
      <c r="E223" s="9" t="n">
        <v>17679</v>
      </c>
      <c r="F223" s="10" t="n">
        <v>18.43</v>
      </c>
      <c r="G223" s="11" t="n">
        <v>115.9</v>
      </c>
      <c r="H223" s="4" t="n">
        <v>-2597</v>
      </c>
      <c r="I223" s="8" t="n">
        <v>2</v>
      </c>
      <c r="J223" s="11" t="n">
        <v>112.6</v>
      </c>
      <c r="K223" s="4" t="n">
        <v>2726</v>
      </c>
      <c r="L223" s="8" t="n">
        <v>1</v>
      </c>
      <c r="M223" s="11" t="n">
        <v>108.2</v>
      </c>
      <c r="N223" s="4" t="n">
        <v>2841</v>
      </c>
      <c r="O223" s="8" t="n">
        <v>1</v>
      </c>
      <c r="P223" s="4" t="n">
        <f aca="false">H223+K223+N223</f>
        <v>2970</v>
      </c>
      <c r="Q223" s="4" t="n">
        <f aca="false">Q222+P223</f>
        <v>522533</v>
      </c>
      <c r="R223" s="4" t="n">
        <f aca="false">Q223-MAX(0,MAX($Q$2:Q223))</f>
        <v>0</v>
      </c>
    </row>
    <row r="224" customFormat="false" ht="15" hidden="false" customHeight="false" outlineLevel="0" collapsed="false">
      <c r="A224" s="7" t="n">
        <v>44805</v>
      </c>
      <c r="B224" s="8" t="n">
        <f aca="false">YEAR(A224)</f>
        <v>2022</v>
      </c>
      <c r="C224" s="8" t="n">
        <f aca="false">MONTH(A224)</f>
        <v>9</v>
      </c>
      <c r="D224" s="8" t="s">
        <v>36</v>
      </c>
      <c r="E224" s="9" t="n">
        <v>17485.7</v>
      </c>
      <c r="F224" s="10" t="n">
        <v>18.7</v>
      </c>
      <c r="G224" s="11" t="n">
        <v>204.6</v>
      </c>
      <c r="H224" s="4" t="n">
        <v>1969</v>
      </c>
      <c r="I224" s="8" t="n">
        <v>1</v>
      </c>
      <c r="J224" s="11" t="n">
        <v>200.5</v>
      </c>
      <c r="K224" s="4" t="n">
        <v>2146</v>
      </c>
      <c r="L224" s="8" t="n">
        <v>1</v>
      </c>
      <c r="M224" s="11" t="n">
        <v>192.6</v>
      </c>
      <c r="N224" s="4" t="n">
        <v>-4167</v>
      </c>
      <c r="O224" s="8" t="n">
        <v>2</v>
      </c>
      <c r="P224" s="4" t="n">
        <f aca="false">H224+K224+N224</f>
        <v>-52</v>
      </c>
      <c r="Q224" s="4" t="n">
        <f aca="false">Q223+P224</f>
        <v>522481</v>
      </c>
      <c r="R224" s="4" t="n">
        <f aca="false">Q224-MAX(0,MAX($Q$2:Q224))</f>
        <v>-52</v>
      </c>
    </row>
    <row r="225" customFormat="false" ht="15" hidden="false" customHeight="false" outlineLevel="0" collapsed="false">
      <c r="A225" s="7" t="n">
        <v>44812</v>
      </c>
      <c r="B225" s="8" t="n">
        <f aca="false">YEAR(A225)</f>
        <v>2022</v>
      </c>
      <c r="C225" s="8" t="n">
        <f aca="false">MONTH(A225)</f>
        <v>9</v>
      </c>
      <c r="D225" s="8" t="s">
        <v>36</v>
      </c>
      <c r="E225" s="9" t="n">
        <v>17748.2</v>
      </c>
      <c r="F225" s="10" t="n">
        <v>19.37</v>
      </c>
      <c r="G225" s="11" t="n">
        <v>109</v>
      </c>
      <c r="H225" s="4" t="n">
        <v>2062</v>
      </c>
      <c r="I225" s="8" t="n">
        <v>1</v>
      </c>
      <c r="J225" s="11" t="n">
        <v>107.8</v>
      </c>
      <c r="K225" s="4" t="n">
        <v>983</v>
      </c>
      <c r="L225" s="8" t="n">
        <v>1</v>
      </c>
      <c r="M225" s="11" t="n">
        <v>104.6</v>
      </c>
      <c r="N225" s="4" t="n">
        <v>170</v>
      </c>
      <c r="O225" s="8" t="n">
        <v>1</v>
      </c>
      <c r="P225" s="4" t="n">
        <f aca="false">H225+K225+N225</f>
        <v>3215</v>
      </c>
      <c r="Q225" s="4" t="n">
        <f aca="false">Q224+P225</f>
        <v>525696</v>
      </c>
      <c r="R225" s="4" t="n">
        <f aca="false">Q225-MAX(0,MAX($Q$2:Q225))</f>
        <v>0</v>
      </c>
    </row>
    <row r="226" customFormat="false" ht="15" hidden="false" customHeight="false" outlineLevel="0" collapsed="false">
      <c r="A226" s="7" t="n">
        <v>44819</v>
      </c>
      <c r="B226" s="8" t="n">
        <f aca="false">YEAR(A226)</f>
        <v>2022</v>
      </c>
      <c r="C226" s="8" t="n">
        <f aca="false">MONTH(A226)</f>
        <v>9</v>
      </c>
      <c r="D226" s="8" t="s">
        <v>36</v>
      </c>
      <c r="E226" s="9" t="n">
        <v>18046.4</v>
      </c>
      <c r="F226" s="10" t="n">
        <v>18.28</v>
      </c>
      <c r="G226" s="11" t="n">
        <v>123.3</v>
      </c>
      <c r="H226" s="4" t="n">
        <v>2176</v>
      </c>
      <c r="I226" s="8" t="n">
        <v>1</v>
      </c>
      <c r="J226" s="11" t="n">
        <v>121</v>
      </c>
      <c r="K226" s="4" t="n">
        <v>2966</v>
      </c>
      <c r="L226" s="8" t="n">
        <v>1</v>
      </c>
      <c r="M226" s="11" t="n">
        <v>116.5</v>
      </c>
      <c r="N226" s="4" t="n">
        <v>3397</v>
      </c>
      <c r="O226" s="8" t="n">
        <v>1</v>
      </c>
      <c r="P226" s="4" t="n">
        <f aca="false">H226+K226+N226</f>
        <v>8539</v>
      </c>
      <c r="Q226" s="4" t="n">
        <f aca="false">Q225+P226</f>
        <v>534235</v>
      </c>
      <c r="R226" s="4" t="n">
        <f aca="false">Q226-MAX(0,MAX($Q$2:Q226))</f>
        <v>0</v>
      </c>
    </row>
    <row r="227" customFormat="false" ht="15" hidden="false" customHeight="false" outlineLevel="0" collapsed="false">
      <c r="A227" s="7" t="n">
        <v>44826</v>
      </c>
      <c r="B227" s="8" t="n">
        <f aca="false">YEAR(A227)</f>
        <v>2022</v>
      </c>
      <c r="C227" s="8" t="n">
        <f aca="false">MONTH(A227)</f>
        <v>9</v>
      </c>
      <c r="D227" s="8" t="s">
        <v>36</v>
      </c>
      <c r="E227" s="9" t="n">
        <v>17609.6</v>
      </c>
      <c r="F227" s="10" t="n">
        <v>19.33</v>
      </c>
      <c r="G227" s="11" t="n">
        <v>209.5</v>
      </c>
      <c r="H227" s="4" t="n">
        <v>4150</v>
      </c>
      <c r="I227" s="8" t="n">
        <v>1</v>
      </c>
      <c r="J227" s="11" t="n">
        <v>206.3</v>
      </c>
      <c r="K227" s="4" t="n">
        <v>3824</v>
      </c>
      <c r="L227" s="8" t="n">
        <v>1</v>
      </c>
      <c r="M227" s="11" t="n">
        <v>197.3</v>
      </c>
      <c r="N227" s="4" t="n">
        <v>3984</v>
      </c>
      <c r="O227" s="8" t="n">
        <v>1</v>
      </c>
      <c r="P227" s="4" t="n">
        <f aca="false">H227+K227+N227</f>
        <v>11958</v>
      </c>
      <c r="Q227" s="4" t="n">
        <f aca="false">Q226+P227</f>
        <v>546193</v>
      </c>
      <c r="R227" s="4" t="n">
        <f aca="false">Q227-MAX(0,MAX($Q$2:Q227))</f>
        <v>0</v>
      </c>
    </row>
    <row r="228" customFormat="false" ht="15" hidden="false" customHeight="false" outlineLevel="0" collapsed="false">
      <c r="A228" s="7" t="n">
        <v>44833</v>
      </c>
      <c r="B228" s="8" t="n">
        <f aca="false">YEAR(A228)</f>
        <v>2022</v>
      </c>
      <c r="C228" s="8" t="n">
        <f aca="false">MONTH(A228)</f>
        <v>9</v>
      </c>
      <c r="D228" s="8" t="s">
        <v>36</v>
      </c>
      <c r="E228" s="9" t="n">
        <v>16993.6</v>
      </c>
      <c r="F228" s="10" t="n">
        <v>22.1</v>
      </c>
      <c r="G228" s="11" t="n">
        <v>134.1</v>
      </c>
      <c r="H228" s="4" t="n">
        <v>3820</v>
      </c>
      <c r="I228" s="8" t="n">
        <v>1</v>
      </c>
      <c r="J228" s="11" t="n">
        <v>130.4</v>
      </c>
      <c r="K228" s="4" t="n">
        <v>2162</v>
      </c>
      <c r="L228" s="8" t="n">
        <v>1</v>
      </c>
      <c r="M228" s="11" t="n">
        <v>125.5</v>
      </c>
      <c r="N228" s="4" t="n">
        <v>1695</v>
      </c>
      <c r="O228" s="8" t="n">
        <v>1</v>
      </c>
      <c r="P228" s="4" t="n">
        <f aca="false">H228+K228+N228</f>
        <v>7677</v>
      </c>
      <c r="Q228" s="4" t="n">
        <f aca="false">Q227+P228</f>
        <v>553870</v>
      </c>
      <c r="R228" s="4" t="n">
        <f aca="false">Q228-MAX(0,MAX($Q$2:Q228))</f>
        <v>0</v>
      </c>
    </row>
    <row r="229" customFormat="false" ht="15" hidden="false" customHeight="false" outlineLevel="0" collapsed="false">
      <c r="A229" s="7" t="n">
        <v>44840</v>
      </c>
      <c r="B229" s="8" t="n">
        <f aca="false">YEAR(A229)</f>
        <v>2022</v>
      </c>
      <c r="C229" s="8" t="n">
        <f aca="false">MONTH(A229)</f>
        <v>10</v>
      </c>
      <c r="D229" s="8" t="s">
        <v>36</v>
      </c>
      <c r="E229" s="9" t="n">
        <v>17379.2</v>
      </c>
      <c r="F229" s="10" t="n">
        <v>19.57</v>
      </c>
      <c r="G229" s="11" t="n">
        <v>142.4</v>
      </c>
      <c r="H229" s="4" t="n">
        <v>544</v>
      </c>
      <c r="I229" s="8" t="n">
        <v>1</v>
      </c>
      <c r="J229" s="11" t="n">
        <v>140.1</v>
      </c>
      <c r="K229" s="4" t="n">
        <v>4441</v>
      </c>
      <c r="L229" s="8" t="n">
        <v>0</v>
      </c>
      <c r="M229" s="11" t="n">
        <v>134.4</v>
      </c>
      <c r="N229" s="4" t="n">
        <v>3535</v>
      </c>
      <c r="O229" s="8" t="n">
        <v>1</v>
      </c>
      <c r="P229" s="4" t="n">
        <f aca="false">H229+K229+N229</f>
        <v>8520</v>
      </c>
      <c r="Q229" s="4" t="n">
        <f aca="false">Q228+P229</f>
        <v>562390</v>
      </c>
      <c r="R229" s="4" t="n">
        <f aca="false">Q229-MAX(0,MAX($Q$2:Q229))</f>
        <v>0</v>
      </c>
    </row>
    <row r="230" customFormat="false" ht="15" hidden="false" customHeight="false" outlineLevel="0" collapsed="false">
      <c r="A230" s="7" t="n">
        <v>44847</v>
      </c>
      <c r="B230" s="8" t="n">
        <f aca="false">YEAR(A230)</f>
        <v>2022</v>
      </c>
      <c r="C230" s="8" t="n">
        <f aca="false">MONTH(A230)</f>
        <v>10</v>
      </c>
      <c r="D230" s="8" t="s">
        <v>36</v>
      </c>
      <c r="E230" s="9" t="n">
        <v>17087.4</v>
      </c>
      <c r="F230" s="10" t="n">
        <v>20.18</v>
      </c>
      <c r="G230" s="11" t="n">
        <v>132</v>
      </c>
      <c r="H230" s="4" t="n">
        <v>2033</v>
      </c>
      <c r="I230" s="8" t="n">
        <v>1</v>
      </c>
      <c r="J230" s="11" t="n">
        <v>129.4</v>
      </c>
      <c r="K230" s="4" t="n">
        <v>2186</v>
      </c>
      <c r="L230" s="8" t="n">
        <v>1</v>
      </c>
      <c r="M230" s="11" t="n">
        <v>123.4</v>
      </c>
      <c r="N230" s="4" t="n">
        <v>2649</v>
      </c>
      <c r="O230" s="8" t="n">
        <v>1</v>
      </c>
      <c r="P230" s="4" t="n">
        <f aca="false">H230+K230+N230</f>
        <v>6868</v>
      </c>
      <c r="Q230" s="4" t="n">
        <f aca="false">Q229+P230</f>
        <v>569258</v>
      </c>
      <c r="R230" s="4" t="n">
        <f aca="false">Q230-MAX(0,MAX($Q$2:Q230))</f>
        <v>0</v>
      </c>
    </row>
    <row r="231" customFormat="false" ht="15" hidden="false" customHeight="false" outlineLevel="0" collapsed="false">
      <c r="A231" s="7" t="n">
        <v>44854</v>
      </c>
      <c r="B231" s="8" t="n">
        <f aca="false">YEAR(A231)</f>
        <v>2022</v>
      </c>
      <c r="C231" s="8" t="n">
        <f aca="false">MONTH(A231)</f>
        <v>10</v>
      </c>
      <c r="D231" s="8" t="s">
        <v>36</v>
      </c>
      <c r="E231" s="9" t="n">
        <v>17423.1</v>
      </c>
      <c r="F231" s="10" t="n">
        <v>17.49</v>
      </c>
      <c r="G231" s="11" t="n">
        <v>123.3</v>
      </c>
      <c r="H231" s="4" t="n">
        <v>2238</v>
      </c>
      <c r="I231" s="8" t="n">
        <v>1</v>
      </c>
      <c r="J231" s="11" t="n">
        <v>121.3</v>
      </c>
      <c r="K231" s="4" t="n">
        <v>2918</v>
      </c>
      <c r="L231" s="8" t="n">
        <v>1</v>
      </c>
      <c r="M231" s="11" t="n">
        <v>117.9</v>
      </c>
      <c r="N231" s="4" t="n">
        <v>1226</v>
      </c>
      <c r="O231" s="8" t="n">
        <v>1</v>
      </c>
      <c r="P231" s="4" t="n">
        <f aca="false">H231+K231+N231</f>
        <v>6382</v>
      </c>
      <c r="Q231" s="4" t="n">
        <f aca="false">Q230+P231</f>
        <v>575640</v>
      </c>
      <c r="R231" s="4" t="n">
        <f aca="false">Q231-MAX(0,MAX($Q$2:Q231))</f>
        <v>0</v>
      </c>
    </row>
    <row r="232" customFormat="false" ht="15" hidden="false" customHeight="false" outlineLevel="0" collapsed="false">
      <c r="A232" s="7" t="n">
        <v>44861</v>
      </c>
      <c r="B232" s="8" t="n">
        <f aca="false">YEAR(A232)</f>
        <v>2022</v>
      </c>
      <c r="C232" s="8" t="n">
        <f aca="false">MONTH(A232)</f>
        <v>10</v>
      </c>
      <c r="D232" s="8" t="s">
        <v>36</v>
      </c>
      <c r="E232" s="9" t="n">
        <v>17771.4</v>
      </c>
      <c r="F232" s="10" t="n">
        <v>16.88</v>
      </c>
      <c r="G232" s="11" t="n">
        <v>82.4</v>
      </c>
      <c r="H232" s="4" t="n">
        <v>770</v>
      </c>
      <c r="I232" s="8" t="n">
        <v>1</v>
      </c>
      <c r="J232" s="11" t="n">
        <v>80.9</v>
      </c>
      <c r="K232" s="4" t="n">
        <v>2235</v>
      </c>
      <c r="L232" s="8" t="n">
        <v>1</v>
      </c>
      <c r="M232" s="11" t="n">
        <v>76</v>
      </c>
      <c r="N232" s="4" t="n">
        <v>1043</v>
      </c>
      <c r="O232" s="8" t="n">
        <v>1</v>
      </c>
      <c r="P232" s="4" t="n">
        <f aca="false">H232+K232+N232</f>
        <v>4048</v>
      </c>
      <c r="Q232" s="4" t="n">
        <f aca="false">Q231+P232</f>
        <v>579688</v>
      </c>
      <c r="R232" s="4" t="n">
        <f aca="false">Q232-MAX(0,MAX($Q$2:Q232))</f>
        <v>0</v>
      </c>
    </row>
    <row r="233" customFormat="false" ht="15" hidden="false" customHeight="false" outlineLevel="0" collapsed="false">
      <c r="A233" s="7" t="n">
        <v>44868</v>
      </c>
      <c r="B233" s="8" t="n">
        <f aca="false">YEAR(A233)</f>
        <v>2022</v>
      </c>
      <c r="C233" s="8" t="n">
        <f aca="false">MONTH(A233)</f>
        <v>11</v>
      </c>
      <c r="D233" s="8" t="s">
        <v>36</v>
      </c>
      <c r="E233" s="9" t="n">
        <v>17968.4</v>
      </c>
      <c r="F233" s="10" t="n">
        <v>16.66</v>
      </c>
      <c r="G233" s="11" t="n">
        <v>146</v>
      </c>
      <c r="H233" s="4" t="n">
        <v>1812</v>
      </c>
      <c r="I233" s="8" t="n">
        <v>1</v>
      </c>
      <c r="J233" s="11" t="n">
        <v>143.2</v>
      </c>
      <c r="K233" s="4" t="n">
        <v>7169</v>
      </c>
      <c r="L233" s="8" t="n">
        <v>0</v>
      </c>
      <c r="M233" s="11" t="n">
        <v>136.5</v>
      </c>
      <c r="N233" s="4" t="n">
        <v>1294</v>
      </c>
      <c r="O233" s="8" t="n">
        <v>1</v>
      </c>
      <c r="P233" s="4" t="n">
        <f aca="false">H233+K233+N233</f>
        <v>10275</v>
      </c>
      <c r="Q233" s="4" t="n">
        <f aca="false">Q232+P233</f>
        <v>589963</v>
      </c>
      <c r="R233" s="4" t="n">
        <f aca="false">Q233-MAX(0,MAX($Q$2:Q233))</f>
        <v>0</v>
      </c>
    </row>
    <row r="234" customFormat="false" ht="15" hidden="false" customHeight="false" outlineLevel="0" collapsed="false">
      <c r="A234" s="7" t="n">
        <v>44875</v>
      </c>
      <c r="B234" s="8" t="n">
        <f aca="false">YEAR(A234)</f>
        <v>2022</v>
      </c>
      <c r="C234" s="8" t="n">
        <f aca="false">MONTH(A234)</f>
        <v>11</v>
      </c>
      <c r="D234" s="8" t="s">
        <v>36</v>
      </c>
      <c r="E234" s="9" t="n">
        <v>18044.4</v>
      </c>
      <c r="F234" s="10" t="n">
        <v>15.92</v>
      </c>
      <c r="G234" s="11" t="n">
        <v>100.5</v>
      </c>
      <c r="H234" s="4" t="n">
        <v>1178</v>
      </c>
      <c r="I234" s="8" t="n">
        <v>1</v>
      </c>
      <c r="J234" s="11" t="n">
        <v>98.1</v>
      </c>
      <c r="K234" s="4" t="n">
        <v>1106</v>
      </c>
      <c r="L234" s="8" t="n">
        <v>1</v>
      </c>
      <c r="M234" s="11" t="n">
        <v>93.4</v>
      </c>
      <c r="N234" s="4" t="n">
        <v>1281</v>
      </c>
      <c r="O234" s="8" t="n">
        <v>1</v>
      </c>
      <c r="P234" s="4" t="n">
        <f aca="false">H234+K234+N234</f>
        <v>3565</v>
      </c>
      <c r="Q234" s="4" t="n">
        <f aca="false">Q233+P234</f>
        <v>593528</v>
      </c>
      <c r="R234" s="4" t="n">
        <f aca="false">Q234-MAX(0,MAX($Q$2:Q234))</f>
        <v>0</v>
      </c>
    </row>
    <row r="235" customFormat="false" ht="15" hidden="false" customHeight="false" outlineLevel="0" collapsed="false">
      <c r="A235" s="7" t="n">
        <v>44882</v>
      </c>
      <c r="B235" s="8" t="n">
        <f aca="false">YEAR(A235)</f>
        <v>2022</v>
      </c>
      <c r="C235" s="8" t="n">
        <f aca="false">MONTH(A235)</f>
        <v>11</v>
      </c>
      <c r="D235" s="8" t="s">
        <v>36</v>
      </c>
      <c r="E235" s="9" t="n">
        <v>18358.7</v>
      </c>
      <c r="F235" s="10" t="n">
        <v>15.1</v>
      </c>
      <c r="G235" s="11" t="n">
        <v>110.9</v>
      </c>
      <c r="H235" s="4" t="n">
        <v>2042</v>
      </c>
      <c r="I235" s="8" t="n">
        <v>1</v>
      </c>
      <c r="J235" s="11" t="n">
        <v>109.4</v>
      </c>
      <c r="K235" s="4" t="n">
        <v>-2129</v>
      </c>
      <c r="L235" s="8" t="n">
        <v>1</v>
      </c>
      <c r="M235" s="11" t="n">
        <v>104.3</v>
      </c>
      <c r="N235" s="4" t="n">
        <v>1824</v>
      </c>
      <c r="O235" s="8" t="n">
        <v>1</v>
      </c>
      <c r="P235" s="4" t="n">
        <f aca="false">H235+K235+N235</f>
        <v>1737</v>
      </c>
      <c r="Q235" s="4" t="n">
        <f aca="false">Q234+P235</f>
        <v>595265</v>
      </c>
      <c r="R235" s="4" t="n">
        <f aca="false">Q235-MAX(0,MAX($Q$2:Q235))</f>
        <v>0</v>
      </c>
    </row>
    <row r="236" customFormat="false" ht="15" hidden="false" customHeight="false" outlineLevel="0" collapsed="false">
      <c r="A236" s="7" t="n">
        <v>44889</v>
      </c>
      <c r="B236" s="8" t="n">
        <f aca="false">YEAR(A236)</f>
        <v>2022</v>
      </c>
      <c r="C236" s="8" t="n">
        <f aca="false">MONTH(A236)</f>
        <v>11</v>
      </c>
      <c r="D236" s="8" t="s">
        <v>36</v>
      </c>
      <c r="E236" s="9" t="n">
        <v>18326.1</v>
      </c>
      <c r="F236" s="10" t="n">
        <v>14.04</v>
      </c>
      <c r="G236" s="11" t="n">
        <v>77.6</v>
      </c>
      <c r="H236" s="4" t="n">
        <v>1364</v>
      </c>
      <c r="I236" s="8" t="n">
        <v>1</v>
      </c>
      <c r="J236" s="11" t="n">
        <v>79</v>
      </c>
      <c r="K236" s="4" t="n">
        <v>429</v>
      </c>
      <c r="L236" s="8" t="n">
        <v>1</v>
      </c>
      <c r="M236" s="11" t="n">
        <v>73.1</v>
      </c>
      <c r="N236" s="4" t="n">
        <v>1308</v>
      </c>
      <c r="O236" s="8" t="n">
        <v>1</v>
      </c>
      <c r="P236" s="4" t="n">
        <f aca="false">H236+K236+N236</f>
        <v>3101</v>
      </c>
      <c r="Q236" s="4" t="n">
        <f aca="false">Q235+P236</f>
        <v>598366</v>
      </c>
      <c r="R236" s="4" t="n">
        <f aca="false">Q236-MAX(0,MAX($Q$2:Q236))</f>
        <v>0</v>
      </c>
    </row>
    <row r="237" customFormat="false" ht="15" hidden="false" customHeight="false" outlineLevel="0" collapsed="false">
      <c r="A237" s="7" t="n">
        <v>44896</v>
      </c>
      <c r="B237" s="8" t="n">
        <f aca="false">YEAR(A237)</f>
        <v>2022</v>
      </c>
      <c r="C237" s="8" t="n">
        <f aca="false">MONTH(A237)</f>
        <v>12</v>
      </c>
      <c r="D237" s="8" t="s">
        <v>36</v>
      </c>
      <c r="E237" s="9" t="n">
        <v>18872</v>
      </c>
      <c r="F237" s="10" t="n">
        <v>13.81</v>
      </c>
      <c r="G237" s="11" t="n">
        <v>71.2</v>
      </c>
      <c r="H237" s="4" t="n">
        <v>922</v>
      </c>
      <c r="I237" s="8" t="n">
        <v>1</v>
      </c>
      <c r="J237" s="11" t="n">
        <v>70.6</v>
      </c>
      <c r="K237" s="4" t="n">
        <v>2054</v>
      </c>
      <c r="L237" s="8" t="n">
        <v>1</v>
      </c>
      <c r="M237" s="11" t="n">
        <v>66.9</v>
      </c>
      <c r="N237" s="4" t="n">
        <v>783</v>
      </c>
      <c r="O237" s="8" t="n">
        <v>1</v>
      </c>
      <c r="P237" s="4" t="n">
        <f aca="false">H237+K237+N237</f>
        <v>3759</v>
      </c>
      <c r="Q237" s="4" t="n">
        <f aca="false">Q236+P237</f>
        <v>602125</v>
      </c>
      <c r="R237" s="4" t="n">
        <f aca="false">Q237-MAX(0,MAX($Q$2:Q237))</f>
        <v>0</v>
      </c>
    </row>
    <row r="238" customFormat="false" ht="15" hidden="false" customHeight="false" outlineLevel="0" collapsed="false">
      <c r="A238" s="7" t="n">
        <v>44903</v>
      </c>
      <c r="B238" s="8" t="n">
        <f aca="false">YEAR(A238)</f>
        <v>2022</v>
      </c>
      <c r="C238" s="8" t="n">
        <f aca="false">MONTH(A238)</f>
        <v>12</v>
      </c>
      <c r="D238" s="8" t="s">
        <v>36</v>
      </c>
      <c r="E238" s="9" t="n">
        <v>18570.8</v>
      </c>
      <c r="F238" s="10" t="n">
        <v>14.08</v>
      </c>
      <c r="G238" s="11" t="n">
        <v>95</v>
      </c>
      <c r="H238" s="4" t="n">
        <v>1841</v>
      </c>
      <c r="I238" s="8" t="n">
        <v>1</v>
      </c>
      <c r="J238" s="11" t="n">
        <v>95.2</v>
      </c>
      <c r="K238" s="4" t="n">
        <v>879</v>
      </c>
      <c r="L238" s="8" t="n">
        <v>1</v>
      </c>
      <c r="M238" s="11" t="n">
        <v>92.2</v>
      </c>
      <c r="N238" s="4" t="n">
        <v>1849</v>
      </c>
      <c r="O238" s="8" t="n">
        <v>1</v>
      </c>
      <c r="P238" s="4" t="n">
        <f aca="false">H238+K238+N238</f>
        <v>4569</v>
      </c>
      <c r="Q238" s="4" t="n">
        <f aca="false">Q237+P238</f>
        <v>606694</v>
      </c>
      <c r="R238" s="4" t="n">
        <f aca="false">Q238-MAX(0,MAX($Q$2:Q238))</f>
        <v>0</v>
      </c>
    </row>
    <row r="239" customFormat="false" ht="15" hidden="false" customHeight="false" outlineLevel="0" collapsed="false">
      <c r="A239" s="7" t="n">
        <v>44910</v>
      </c>
      <c r="B239" s="8" t="n">
        <f aca="false">YEAR(A239)</f>
        <v>2022</v>
      </c>
      <c r="C239" s="8" t="n">
        <f aca="false">MONTH(A239)</f>
        <v>12</v>
      </c>
      <c r="D239" s="8" t="s">
        <v>36</v>
      </c>
      <c r="E239" s="9" t="n">
        <v>18614.4</v>
      </c>
      <c r="F239" s="10" t="n">
        <v>12.89</v>
      </c>
      <c r="G239" s="11" t="n">
        <v>110.1</v>
      </c>
      <c r="H239" s="4" t="n">
        <v>2185</v>
      </c>
      <c r="I239" s="8" t="n">
        <v>1</v>
      </c>
      <c r="J239" s="11" t="n">
        <v>108.5</v>
      </c>
      <c r="K239" s="4" t="n">
        <v>1542</v>
      </c>
      <c r="L239" s="8" t="n">
        <v>1</v>
      </c>
      <c r="M239" s="11" t="n">
        <v>104.4</v>
      </c>
      <c r="N239" s="4" t="n">
        <v>1250</v>
      </c>
      <c r="O239" s="8" t="n">
        <v>1</v>
      </c>
      <c r="P239" s="4" t="n">
        <f aca="false">H239+K239+N239</f>
        <v>4977</v>
      </c>
      <c r="Q239" s="4" t="n">
        <f aca="false">Q238+P239</f>
        <v>611671</v>
      </c>
      <c r="R239" s="4" t="n">
        <f aca="false">Q239-MAX(0,MAX($Q$2:Q239))</f>
        <v>0</v>
      </c>
    </row>
    <row r="240" customFormat="false" ht="15" hidden="false" customHeight="false" outlineLevel="0" collapsed="false">
      <c r="A240" s="7" t="n">
        <v>44917</v>
      </c>
      <c r="B240" s="8" t="n">
        <f aca="false">YEAR(A240)</f>
        <v>2022</v>
      </c>
      <c r="C240" s="8" t="n">
        <f aca="false">MONTH(A240)</f>
        <v>12</v>
      </c>
      <c r="D240" s="8" t="s">
        <v>36</v>
      </c>
      <c r="E240" s="9" t="n">
        <v>18288.8</v>
      </c>
      <c r="F240" s="10" t="n">
        <v>15.56</v>
      </c>
      <c r="G240" s="11" t="n">
        <v>98.2</v>
      </c>
      <c r="H240" s="4" t="n">
        <v>2500</v>
      </c>
      <c r="I240" s="8" t="n">
        <v>1</v>
      </c>
      <c r="J240" s="11" t="n">
        <v>96.3</v>
      </c>
      <c r="K240" s="4" t="n">
        <v>-2195</v>
      </c>
      <c r="L240" s="8" t="n">
        <v>2</v>
      </c>
      <c r="M240" s="11" t="n">
        <v>91.8</v>
      </c>
      <c r="N240" s="4" t="n">
        <v>1398</v>
      </c>
      <c r="O240" s="8" t="n">
        <v>1</v>
      </c>
      <c r="P240" s="4" t="n">
        <f aca="false">H240+K240+N240</f>
        <v>1703</v>
      </c>
      <c r="Q240" s="4" t="n">
        <f aca="false">Q239+P240</f>
        <v>613374</v>
      </c>
      <c r="R240" s="4" t="n">
        <f aca="false">Q240-MAX(0,MAX($Q$2:Q240))</f>
        <v>0</v>
      </c>
    </row>
    <row r="241" customFormat="false" ht="15" hidden="false" customHeight="false" outlineLevel="0" collapsed="false">
      <c r="A241" s="7" t="n">
        <v>44924</v>
      </c>
      <c r="B241" s="8" t="n">
        <f aca="false">YEAR(A241)</f>
        <v>2022</v>
      </c>
      <c r="C241" s="8" t="n">
        <f aca="false">MONTH(A241)</f>
        <v>12</v>
      </c>
      <c r="D241" s="8" t="s">
        <v>36</v>
      </c>
      <c r="E241" s="9" t="n">
        <v>18045.7</v>
      </c>
      <c r="F241" s="10" t="n">
        <v>15.4</v>
      </c>
      <c r="G241" s="11" t="n">
        <v>104.1</v>
      </c>
      <c r="H241" s="4" t="n">
        <v>-2356</v>
      </c>
      <c r="I241" s="8" t="n">
        <v>2</v>
      </c>
      <c r="J241" s="11" t="n">
        <v>101.9</v>
      </c>
      <c r="K241" s="4" t="n">
        <v>-2310</v>
      </c>
      <c r="L241" s="8" t="n">
        <v>2</v>
      </c>
      <c r="M241" s="11" t="n">
        <v>98.3</v>
      </c>
      <c r="N241" s="4" t="n">
        <v>1129</v>
      </c>
      <c r="O241" s="8" t="n">
        <v>1</v>
      </c>
      <c r="P241" s="4" t="n">
        <f aca="false">H241+K241+N241</f>
        <v>-3537</v>
      </c>
      <c r="Q241" s="4" t="n">
        <f aca="false">Q240+P241</f>
        <v>609837</v>
      </c>
      <c r="R241" s="4" t="n">
        <f aca="false">Q241-MAX(0,MAX($Q$2:Q241))</f>
        <v>-3537</v>
      </c>
    </row>
    <row r="242" customFormat="false" ht="15" hidden="false" customHeight="false" outlineLevel="0" collapsed="false">
      <c r="A242" s="7" t="n">
        <v>44931</v>
      </c>
      <c r="B242" s="8" t="n">
        <f aca="false">YEAR(A242)</f>
        <v>2023</v>
      </c>
      <c r="C242" s="8" t="n">
        <f aca="false">MONTH(A242)</f>
        <v>1</v>
      </c>
      <c r="D242" s="8" t="s">
        <v>36</v>
      </c>
      <c r="E242" s="9" t="n">
        <v>18102</v>
      </c>
      <c r="F242" s="10" t="n">
        <v>15.2</v>
      </c>
      <c r="G242" s="11" t="n">
        <v>112.3</v>
      </c>
      <c r="H242" s="4" t="n">
        <v>-2523</v>
      </c>
      <c r="I242" s="8" t="n">
        <v>2</v>
      </c>
      <c r="J242" s="11" t="n">
        <v>110.4</v>
      </c>
      <c r="K242" s="4" t="n">
        <v>2824</v>
      </c>
      <c r="L242" s="8" t="n">
        <v>1</v>
      </c>
      <c r="M242" s="11" t="n">
        <v>104.7</v>
      </c>
      <c r="N242" s="4" t="n">
        <v>-2368</v>
      </c>
      <c r="O242" s="8" t="n">
        <v>2</v>
      </c>
      <c r="P242" s="4" t="n">
        <f aca="false">H242+K242+N242</f>
        <v>-2067</v>
      </c>
      <c r="Q242" s="4" t="n">
        <f aca="false">Q241+P242</f>
        <v>607770</v>
      </c>
      <c r="R242" s="4" t="n">
        <f aca="false">Q242-MAX(0,MAX($Q$2:Q242))</f>
        <v>-5604</v>
      </c>
    </row>
    <row r="243" customFormat="false" ht="15" hidden="false" customHeight="false" outlineLevel="0" collapsed="false">
      <c r="A243" s="7" t="n">
        <v>44938</v>
      </c>
      <c r="B243" s="8" t="n">
        <f aca="false">YEAR(A243)</f>
        <v>2023</v>
      </c>
      <c r="C243" s="8" t="n">
        <f aca="false">MONTH(A243)</f>
        <v>1</v>
      </c>
      <c r="D243" s="8" t="s">
        <v>36</v>
      </c>
      <c r="E243" s="9" t="n">
        <v>17920.8</v>
      </c>
      <c r="F243" s="10" t="n">
        <v>15.44</v>
      </c>
      <c r="G243" s="11" t="n">
        <v>117.8</v>
      </c>
      <c r="H243" s="4" t="n">
        <v>3023</v>
      </c>
      <c r="I243" s="8" t="n">
        <v>1</v>
      </c>
      <c r="J243" s="11" t="n">
        <v>115.4</v>
      </c>
      <c r="K243" s="4" t="n">
        <v>2013</v>
      </c>
      <c r="L243" s="8" t="n">
        <v>1</v>
      </c>
      <c r="M243" s="11" t="n">
        <v>110</v>
      </c>
      <c r="N243" s="4" t="n">
        <v>1580</v>
      </c>
      <c r="O243" s="8" t="n">
        <v>1</v>
      </c>
      <c r="P243" s="4" t="n">
        <f aca="false">H243+K243+N243</f>
        <v>6616</v>
      </c>
      <c r="Q243" s="4" t="n">
        <f aca="false">Q242+P243</f>
        <v>614386</v>
      </c>
      <c r="R243" s="4" t="n">
        <f aca="false">Q243-MAX(0,MAX($Q$2:Q243))</f>
        <v>0</v>
      </c>
    </row>
    <row r="244" customFormat="false" ht="15" hidden="false" customHeight="false" outlineLevel="0" collapsed="false">
      <c r="A244" s="7" t="n">
        <v>44945</v>
      </c>
      <c r="B244" s="8" t="n">
        <f aca="false">YEAR(A244)</f>
        <v>2023</v>
      </c>
      <c r="C244" s="8" t="n">
        <f aca="false">MONTH(A244)</f>
        <v>1</v>
      </c>
      <c r="D244" s="8" t="s">
        <v>36</v>
      </c>
      <c r="E244" s="9" t="n">
        <v>18119.8</v>
      </c>
      <c r="F244" s="10" t="n">
        <v>14.37</v>
      </c>
      <c r="G244" s="11" t="n">
        <v>106.5</v>
      </c>
      <c r="H244" s="4" t="n">
        <v>-2404</v>
      </c>
      <c r="I244" s="8" t="n">
        <v>2</v>
      </c>
      <c r="J244" s="11" t="n">
        <v>104.3</v>
      </c>
      <c r="K244" s="4" t="n">
        <v>1716</v>
      </c>
      <c r="L244" s="8" t="n">
        <v>1</v>
      </c>
      <c r="M244" s="11" t="n">
        <v>102.1</v>
      </c>
      <c r="N244" s="4" t="n">
        <v>831</v>
      </c>
      <c r="O244" s="8" t="n">
        <v>1</v>
      </c>
      <c r="P244" s="4" t="n">
        <f aca="false">H244+K244+N244</f>
        <v>143</v>
      </c>
      <c r="Q244" s="4" t="n">
        <f aca="false">Q243+P244</f>
        <v>614529</v>
      </c>
      <c r="R244" s="4" t="n">
        <f aca="false">Q244-MAX(0,MAX($Q$2:Q244))</f>
        <v>0</v>
      </c>
    </row>
    <row r="245" customFormat="false" ht="15" hidden="false" customHeight="false" outlineLevel="0" collapsed="false">
      <c r="A245" s="7" t="n">
        <v>44951</v>
      </c>
      <c r="B245" s="8" t="n">
        <f aca="false">YEAR(A245)</f>
        <v>2023</v>
      </c>
      <c r="C245" s="8" t="n">
        <f aca="false">MONTH(A245)</f>
        <v>1</v>
      </c>
      <c r="D245" s="8" t="s">
        <v>37</v>
      </c>
      <c r="E245" s="9" t="n">
        <v>18093.4</v>
      </c>
      <c r="F245" s="10" t="n">
        <v>13.66</v>
      </c>
      <c r="G245" s="11" t="n">
        <v>79.6</v>
      </c>
      <c r="H245" s="4" t="n">
        <v>1542</v>
      </c>
      <c r="I245" s="8" t="n">
        <v>1</v>
      </c>
      <c r="J245" s="11" t="n">
        <v>78.8</v>
      </c>
      <c r="K245" s="4" t="n">
        <v>958</v>
      </c>
      <c r="L245" s="8" t="n">
        <v>1</v>
      </c>
      <c r="M245" s="11" t="n">
        <v>74.7</v>
      </c>
      <c r="N245" s="4" t="n">
        <v>1168</v>
      </c>
      <c r="O245" s="8" t="n">
        <v>1</v>
      </c>
      <c r="P245" s="4" t="n">
        <f aca="false">H245+K245+N245</f>
        <v>3668</v>
      </c>
      <c r="Q245" s="4" t="n">
        <f aca="false">Q244+P245</f>
        <v>618197</v>
      </c>
      <c r="R245" s="4" t="n">
        <f aca="false">Q245-MAX(0,MAX($Q$2:Q245))</f>
        <v>0</v>
      </c>
    </row>
    <row r="246" customFormat="false" ht="15" hidden="false" customHeight="false" outlineLevel="0" collapsed="false">
      <c r="A246" s="7" t="n">
        <v>44959</v>
      </c>
      <c r="B246" s="8" t="n">
        <f aca="false">YEAR(A246)</f>
        <v>2023</v>
      </c>
      <c r="C246" s="8" t="n">
        <f aca="false">MONTH(A246)</f>
        <v>2</v>
      </c>
      <c r="D246" s="8" t="s">
        <v>36</v>
      </c>
      <c r="E246" s="9" t="n">
        <v>17517.1</v>
      </c>
      <c r="F246" s="10" t="n">
        <v>16.78</v>
      </c>
      <c r="G246" s="11" t="n">
        <v>145.3</v>
      </c>
      <c r="H246" s="4" t="n">
        <v>2147</v>
      </c>
      <c r="I246" s="8" t="n">
        <v>1</v>
      </c>
      <c r="J246" s="11" t="n">
        <v>143</v>
      </c>
      <c r="K246" s="4" t="n">
        <v>2368</v>
      </c>
      <c r="L246" s="8" t="n">
        <v>1</v>
      </c>
      <c r="M246" s="11" t="n">
        <v>137.1</v>
      </c>
      <c r="N246" s="4" t="n">
        <v>-3030</v>
      </c>
      <c r="O246" s="8" t="n">
        <v>2</v>
      </c>
      <c r="P246" s="4" t="n">
        <f aca="false">H246+K246+N246</f>
        <v>1485</v>
      </c>
      <c r="Q246" s="4" t="n">
        <f aca="false">Q245+P246</f>
        <v>619682</v>
      </c>
      <c r="R246" s="4" t="n">
        <f aca="false">Q246-MAX(0,MAX($Q$2:Q246))</f>
        <v>0</v>
      </c>
    </row>
    <row r="247" customFormat="false" ht="15" hidden="false" customHeight="false" outlineLevel="0" collapsed="false">
      <c r="A247" s="7" t="n">
        <v>44966</v>
      </c>
      <c r="B247" s="8" t="n">
        <f aca="false">YEAR(A247)</f>
        <v>2023</v>
      </c>
      <c r="C247" s="8" t="n">
        <f aca="false">MONTH(A247)</f>
        <v>2</v>
      </c>
      <c r="D247" s="8" t="s">
        <v>36</v>
      </c>
      <c r="E247" s="9" t="n">
        <v>17885.5</v>
      </c>
      <c r="F247" s="10" t="n">
        <v>13.6</v>
      </c>
      <c r="G247" s="11" t="n">
        <v>109.5</v>
      </c>
      <c r="H247" s="4" t="n">
        <v>-2466</v>
      </c>
      <c r="I247" s="8" t="n">
        <v>2</v>
      </c>
      <c r="J247" s="11" t="n">
        <v>106.5</v>
      </c>
      <c r="K247" s="4" t="n">
        <v>1713</v>
      </c>
      <c r="L247" s="8" t="n">
        <v>1</v>
      </c>
      <c r="M247" s="11" t="n">
        <v>101.9</v>
      </c>
      <c r="N247" s="4" t="n">
        <v>1824</v>
      </c>
      <c r="O247" s="8" t="n">
        <v>1</v>
      </c>
      <c r="P247" s="4" t="n">
        <f aca="false">H247+K247+N247</f>
        <v>1071</v>
      </c>
      <c r="Q247" s="4" t="n">
        <f aca="false">Q246+P247</f>
        <v>620753</v>
      </c>
      <c r="R247" s="4" t="n">
        <f aca="false">Q247-MAX(0,MAX($Q$2:Q247))</f>
        <v>0</v>
      </c>
    </row>
    <row r="248" customFormat="false" ht="15" hidden="false" customHeight="false" outlineLevel="0" collapsed="false">
      <c r="A248" s="7" t="n">
        <v>44973</v>
      </c>
      <c r="B248" s="8" t="n">
        <f aca="false">YEAR(A248)</f>
        <v>2023</v>
      </c>
      <c r="C248" s="8" t="n">
        <f aca="false">MONTH(A248)</f>
        <v>2</v>
      </c>
      <c r="D248" s="8" t="s">
        <v>36</v>
      </c>
      <c r="E248" s="9" t="n">
        <v>18094.8</v>
      </c>
      <c r="F248" s="10" t="n">
        <v>12.86</v>
      </c>
      <c r="G248" s="11" t="n">
        <v>62.9</v>
      </c>
      <c r="H248" s="4" t="n">
        <v>-1512</v>
      </c>
      <c r="I248" s="8" t="n">
        <v>2</v>
      </c>
      <c r="J248" s="11" t="n">
        <v>62.9</v>
      </c>
      <c r="K248" s="4" t="n">
        <v>451</v>
      </c>
      <c r="L248" s="8" t="n">
        <v>1</v>
      </c>
      <c r="M248" s="11" t="n">
        <v>63</v>
      </c>
      <c r="N248" s="4" t="n">
        <v>2383</v>
      </c>
      <c r="O248" s="8" t="n">
        <v>1</v>
      </c>
      <c r="P248" s="4" t="n">
        <f aca="false">H248+K248+N248</f>
        <v>1322</v>
      </c>
      <c r="Q248" s="4" t="n">
        <f aca="false">Q247+P248</f>
        <v>622075</v>
      </c>
      <c r="R248" s="4" t="n">
        <f aca="false">Q248-MAX(0,MAX($Q$2:Q248))</f>
        <v>0</v>
      </c>
    </row>
    <row r="249" customFormat="false" ht="15" hidden="false" customHeight="false" outlineLevel="0" collapsed="false">
      <c r="A249" s="7" t="n">
        <v>44980</v>
      </c>
      <c r="B249" s="8" t="n">
        <f aca="false">YEAR(A249)</f>
        <v>2023</v>
      </c>
      <c r="C249" s="8" t="n">
        <f aca="false">MONTH(A249)</f>
        <v>2</v>
      </c>
      <c r="D249" s="8" t="s">
        <v>36</v>
      </c>
      <c r="E249" s="9" t="n">
        <v>17574.6</v>
      </c>
      <c r="F249" s="10" t="n">
        <v>15.59</v>
      </c>
      <c r="G249" s="11" t="n">
        <v>108.3</v>
      </c>
      <c r="H249" s="4" t="n">
        <v>-2441</v>
      </c>
      <c r="I249" s="8" t="n">
        <v>2</v>
      </c>
      <c r="J249" s="11" t="n">
        <v>106.2</v>
      </c>
      <c r="K249" s="4" t="n">
        <v>2097</v>
      </c>
      <c r="L249" s="8" t="n">
        <v>1</v>
      </c>
      <c r="M249" s="11" t="n">
        <v>101.8</v>
      </c>
      <c r="N249" s="4" t="n">
        <v>2202</v>
      </c>
      <c r="O249" s="8" t="n">
        <v>1</v>
      </c>
      <c r="P249" s="4" t="n">
        <f aca="false">H249+K249+N249</f>
        <v>1858</v>
      </c>
      <c r="Q249" s="4" t="n">
        <f aca="false">Q248+P249</f>
        <v>623933</v>
      </c>
      <c r="R249" s="4" t="n">
        <f aca="false">Q249-MAX(0,MAX($Q$2:Q249))</f>
        <v>0</v>
      </c>
    </row>
    <row r="250" customFormat="false" ht="15" hidden="false" customHeight="false" outlineLevel="0" collapsed="false">
      <c r="A250" s="7" t="n">
        <v>44987</v>
      </c>
      <c r="B250" s="8" t="n">
        <f aca="false">YEAR(A250)</f>
        <v>2023</v>
      </c>
      <c r="C250" s="8" t="n">
        <f aca="false">MONTH(A250)</f>
        <v>3</v>
      </c>
      <c r="D250" s="8" t="s">
        <v>36</v>
      </c>
      <c r="E250" s="9" t="n">
        <v>17421.5</v>
      </c>
      <c r="F250" s="10" t="n">
        <v>13</v>
      </c>
      <c r="G250" s="11" t="n">
        <v>97.4</v>
      </c>
      <c r="H250" s="4" t="n">
        <v>2844</v>
      </c>
      <c r="I250" s="8" t="n">
        <v>1</v>
      </c>
      <c r="J250" s="11" t="n">
        <v>96.4</v>
      </c>
      <c r="K250" s="4" t="n">
        <v>2893</v>
      </c>
      <c r="L250" s="8" t="n">
        <v>1</v>
      </c>
      <c r="M250" s="11" t="n">
        <v>90.6</v>
      </c>
      <c r="N250" s="4" t="n">
        <v>-2078</v>
      </c>
      <c r="O250" s="8" t="n">
        <v>2</v>
      </c>
      <c r="P250" s="4" t="n">
        <f aca="false">H250+K250+N250</f>
        <v>3659</v>
      </c>
      <c r="Q250" s="4" t="n">
        <f aca="false">Q249+P250</f>
        <v>627592</v>
      </c>
      <c r="R250" s="4" t="n">
        <f aca="false">Q250-MAX(0,MAX($Q$2:Q250))</f>
        <v>0</v>
      </c>
    </row>
    <row r="251" customFormat="false" ht="15" hidden="false" customHeight="false" outlineLevel="0" collapsed="false">
      <c r="A251" s="7" t="n">
        <v>44994</v>
      </c>
      <c r="B251" s="8" t="n">
        <f aca="false">YEAR(A251)</f>
        <v>2023</v>
      </c>
      <c r="C251" s="8" t="n">
        <f aca="false">MONTH(A251)</f>
        <v>3</v>
      </c>
      <c r="D251" s="8" t="s">
        <v>36</v>
      </c>
      <c r="E251" s="9" t="n">
        <v>17772</v>
      </c>
      <c r="F251" s="10" t="n">
        <v>12.45</v>
      </c>
      <c r="G251" s="11" t="n">
        <v>75.6</v>
      </c>
      <c r="H251" s="4" t="n">
        <v>1055</v>
      </c>
      <c r="I251" s="8" t="n">
        <v>1</v>
      </c>
      <c r="J251" s="11" t="n">
        <v>76.8</v>
      </c>
      <c r="K251" s="4" t="n">
        <v>2610</v>
      </c>
      <c r="L251" s="8" t="n">
        <v>1</v>
      </c>
      <c r="M251" s="11" t="n">
        <v>71</v>
      </c>
      <c r="N251" s="4" t="n">
        <v>-1677</v>
      </c>
      <c r="O251" s="8" t="n">
        <v>2</v>
      </c>
      <c r="P251" s="4" t="n">
        <f aca="false">H251+K251+N251</f>
        <v>1988</v>
      </c>
      <c r="Q251" s="4" t="n">
        <f aca="false">Q250+P251</f>
        <v>629580</v>
      </c>
      <c r="R251" s="4" t="n">
        <f aca="false">Q251-MAX(0,MAX($Q$2:Q251))</f>
        <v>0</v>
      </c>
    </row>
    <row r="252" customFormat="false" ht="15" hidden="false" customHeight="false" outlineLevel="0" collapsed="false">
      <c r="A252" s="7" t="n">
        <v>45001</v>
      </c>
      <c r="B252" s="8" t="n">
        <f aca="false">YEAR(A252)</f>
        <v>2023</v>
      </c>
      <c r="C252" s="8" t="n">
        <f aca="false">MONTH(A252)</f>
        <v>3</v>
      </c>
      <c r="D252" s="8" t="s">
        <v>36</v>
      </c>
      <c r="E252" s="9" t="n">
        <v>16994.6</v>
      </c>
      <c r="F252" s="10" t="n">
        <v>16.3</v>
      </c>
      <c r="G252" s="11" t="n">
        <v>131.5</v>
      </c>
      <c r="H252" s="4" t="n">
        <v>-2916</v>
      </c>
      <c r="I252" s="8" t="n">
        <v>2</v>
      </c>
      <c r="J252" s="11" t="n">
        <v>127.7</v>
      </c>
      <c r="K252" s="4" t="n">
        <v>-2839</v>
      </c>
      <c r="L252" s="8" t="n">
        <v>2</v>
      </c>
      <c r="M252" s="11" t="n">
        <v>122.7</v>
      </c>
      <c r="N252" s="4" t="n">
        <v>1735</v>
      </c>
      <c r="O252" s="8" t="n">
        <v>1</v>
      </c>
      <c r="P252" s="4" t="n">
        <f aca="false">H252+K252+N252</f>
        <v>-4020</v>
      </c>
      <c r="Q252" s="4" t="n">
        <f aca="false">Q251+P252</f>
        <v>625560</v>
      </c>
      <c r="R252" s="4" t="n">
        <f aca="false">Q252-MAX(0,MAX($Q$2:Q252))</f>
        <v>-4020</v>
      </c>
    </row>
    <row r="253" customFormat="false" ht="15" hidden="false" customHeight="false" outlineLevel="0" collapsed="false">
      <c r="A253" s="7" t="n">
        <v>45008</v>
      </c>
      <c r="B253" s="8" t="n">
        <f aca="false">YEAR(A253)</f>
        <v>2023</v>
      </c>
      <c r="C253" s="8" t="n">
        <f aca="false">MONTH(A253)</f>
        <v>3</v>
      </c>
      <c r="D253" s="8" t="s">
        <v>36</v>
      </c>
      <c r="E253" s="9" t="n">
        <v>17097.4</v>
      </c>
      <c r="F253" s="10" t="n">
        <v>14.81</v>
      </c>
      <c r="G253" s="11" t="n">
        <v>120.3</v>
      </c>
      <c r="H253" s="4" t="n">
        <v>1424</v>
      </c>
      <c r="I253" s="8" t="n">
        <v>1</v>
      </c>
      <c r="J253" s="11" t="n">
        <v>118.2</v>
      </c>
      <c r="K253" s="4" t="n">
        <v>867</v>
      </c>
      <c r="L253" s="8" t="n">
        <v>1</v>
      </c>
      <c r="M253" s="11" t="n">
        <v>113.4</v>
      </c>
      <c r="N253" s="4" t="n">
        <v>-2546</v>
      </c>
      <c r="O253" s="8" t="n">
        <v>2</v>
      </c>
      <c r="P253" s="4" t="n">
        <f aca="false">H253+K253+N253</f>
        <v>-255</v>
      </c>
      <c r="Q253" s="4" t="n">
        <f aca="false">Q252+P253</f>
        <v>625305</v>
      </c>
      <c r="R253" s="4" t="n">
        <f aca="false">Q253-MAX(0,MAX($Q$2:Q253))</f>
        <v>-4275</v>
      </c>
    </row>
    <row r="254" customFormat="false" ht="15" hidden="false" customHeight="false" outlineLevel="0" collapsed="false">
      <c r="A254" s="7" t="n">
        <v>45014</v>
      </c>
      <c r="B254" s="8" t="n">
        <f aca="false">YEAR(A254)</f>
        <v>2023</v>
      </c>
      <c r="C254" s="8" t="n">
        <f aca="false">MONTH(A254)</f>
        <v>3</v>
      </c>
      <c r="D254" s="8" t="s">
        <v>37</v>
      </c>
      <c r="E254" s="9" t="n">
        <v>16977.3</v>
      </c>
      <c r="F254" s="10" t="n">
        <v>15.1</v>
      </c>
      <c r="G254" s="11" t="n">
        <v>104.4</v>
      </c>
      <c r="H254" s="4" t="n">
        <v>2650</v>
      </c>
      <c r="I254" s="8" t="n">
        <v>1</v>
      </c>
      <c r="J254" s="11" t="n">
        <v>102.3</v>
      </c>
      <c r="K254" s="4" t="n">
        <v>-2318</v>
      </c>
      <c r="L254" s="8" t="n">
        <v>2</v>
      </c>
      <c r="M254" s="11" t="n">
        <v>98.2</v>
      </c>
      <c r="N254" s="4" t="n">
        <v>-2235</v>
      </c>
      <c r="O254" s="8" t="n">
        <v>2</v>
      </c>
      <c r="P254" s="4" t="n">
        <f aca="false">H254+K254+N254</f>
        <v>-1903</v>
      </c>
      <c r="Q254" s="4" t="n">
        <f aca="false">Q253+P254</f>
        <v>623402</v>
      </c>
      <c r="R254" s="4" t="n">
        <f aca="false">Q254-MAX(0,MAX($Q$2:Q254))</f>
        <v>-6178</v>
      </c>
    </row>
    <row r="255" customFormat="false" ht="15" hidden="false" customHeight="false" outlineLevel="0" collapsed="false">
      <c r="A255" s="7" t="n">
        <v>45022</v>
      </c>
      <c r="B255" s="8" t="n">
        <f aca="false">YEAR(A255)</f>
        <v>2023</v>
      </c>
      <c r="C255" s="8" t="n">
        <f aca="false">MONTH(A255)</f>
        <v>4</v>
      </c>
      <c r="D255" s="8" t="s">
        <v>36</v>
      </c>
      <c r="E255" s="9" t="n">
        <v>17533.8</v>
      </c>
      <c r="F255" s="10" t="n">
        <v>12.41</v>
      </c>
      <c r="G255" s="11" t="n">
        <v>86.1</v>
      </c>
      <c r="H255" s="4" t="n">
        <v>-1986</v>
      </c>
      <c r="I255" s="8" t="n">
        <v>2</v>
      </c>
      <c r="J255" s="11" t="n">
        <v>87</v>
      </c>
      <c r="K255" s="4" t="n">
        <v>573</v>
      </c>
      <c r="L255" s="8" t="n">
        <v>1</v>
      </c>
      <c r="M255" s="11" t="n">
        <v>82.7</v>
      </c>
      <c r="N255" s="4" t="n">
        <v>1612</v>
      </c>
      <c r="O255" s="8" t="n">
        <v>1</v>
      </c>
      <c r="P255" s="4" t="n">
        <f aca="false">H255+K255+N255</f>
        <v>199</v>
      </c>
      <c r="Q255" s="4" t="n">
        <f aca="false">Q254+P255</f>
        <v>623601</v>
      </c>
      <c r="R255" s="4" t="n">
        <f aca="false">Q255-MAX(0,MAX($Q$2:Q255))</f>
        <v>-5979</v>
      </c>
    </row>
    <row r="256" customFormat="false" ht="15" hidden="false" customHeight="false" outlineLevel="0" collapsed="false">
      <c r="A256" s="7" t="n">
        <v>45029</v>
      </c>
      <c r="B256" s="8" t="n">
        <f aca="false">YEAR(A256)</f>
        <v>2023</v>
      </c>
      <c r="C256" s="8" t="n">
        <f aca="false">MONTH(A256)</f>
        <v>4</v>
      </c>
      <c r="D256" s="8" t="s">
        <v>36</v>
      </c>
      <c r="E256" s="9" t="n">
        <v>17807.3</v>
      </c>
      <c r="F256" s="10" t="n">
        <v>12.27</v>
      </c>
      <c r="G256" s="11" t="n">
        <v>81.2</v>
      </c>
      <c r="H256" s="4" t="n">
        <v>-1887</v>
      </c>
      <c r="I256" s="8" t="n">
        <v>2</v>
      </c>
      <c r="J256" s="11" t="n">
        <v>80.7</v>
      </c>
      <c r="K256" s="4" t="n">
        <v>-215</v>
      </c>
      <c r="L256" s="8" t="n">
        <v>1</v>
      </c>
      <c r="M256" s="11" t="n">
        <v>76.3</v>
      </c>
      <c r="N256" s="4" t="n">
        <v>-1045</v>
      </c>
      <c r="O256" s="8" t="n">
        <v>1</v>
      </c>
      <c r="P256" s="4" t="n">
        <f aca="false">H256+K256+N256</f>
        <v>-3147</v>
      </c>
      <c r="Q256" s="4" t="n">
        <f aca="false">Q255+P256</f>
        <v>620454</v>
      </c>
      <c r="R256" s="4" t="n">
        <f aca="false">Q256-MAX(0,MAX($Q$2:Q256))</f>
        <v>-9126</v>
      </c>
    </row>
    <row r="257" customFormat="false" ht="15" hidden="false" customHeight="false" outlineLevel="0" collapsed="false">
      <c r="A257" s="7" t="n">
        <v>45036</v>
      </c>
      <c r="B257" s="8" t="n">
        <f aca="false">YEAR(A257)</f>
        <v>2023</v>
      </c>
      <c r="C257" s="8" t="n">
        <f aca="false">MONTH(A257)</f>
        <v>4</v>
      </c>
      <c r="D257" s="8" t="s">
        <v>36</v>
      </c>
      <c r="E257" s="9" t="n">
        <v>17638.6</v>
      </c>
      <c r="F257" s="10" t="n">
        <v>12.15</v>
      </c>
      <c r="G257" s="11" t="n">
        <v>81.8</v>
      </c>
      <c r="H257" s="4" t="n">
        <v>2484</v>
      </c>
      <c r="I257" s="8" t="n">
        <v>1</v>
      </c>
      <c r="J257" s="11" t="n">
        <v>81.4</v>
      </c>
      <c r="K257" s="4" t="n">
        <v>2667</v>
      </c>
      <c r="L257" s="8" t="n">
        <v>1</v>
      </c>
      <c r="M257" s="11" t="n">
        <v>74.6</v>
      </c>
      <c r="N257" s="4" t="n">
        <v>1270</v>
      </c>
      <c r="O257" s="8" t="n">
        <v>1</v>
      </c>
      <c r="P257" s="4" t="n">
        <f aca="false">H257+K257+N257</f>
        <v>6421</v>
      </c>
      <c r="Q257" s="4" t="n">
        <f aca="false">Q256+P257</f>
        <v>626875</v>
      </c>
      <c r="R257" s="4" t="n">
        <f aca="false">Q257-MAX(0,MAX($Q$2:Q257))</f>
        <v>-2705</v>
      </c>
    </row>
    <row r="258" customFormat="false" ht="15" hidden="false" customHeight="false" outlineLevel="0" collapsed="false">
      <c r="A258" s="7" t="n">
        <v>45043</v>
      </c>
      <c r="B258" s="8" t="n">
        <f aca="false">YEAR(A258)</f>
        <v>2023</v>
      </c>
      <c r="C258" s="8" t="n">
        <f aca="false">MONTH(A258)</f>
        <v>4</v>
      </c>
      <c r="D258" s="8" t="s">
        <v>36</v>
      </c>
      <c r="E258" s="9" t="n">
        <v>17813.1</v>
      </c>
      <c r="F258" s="10" t="n">
        <v>11.65</v>
      </c>
      <c r="G258" s="11" t="n">
        <v>73.6</v>
      </c>
      <c r="H258" s="4" t="n">
        <v>375</v>
      </c>
      <c r="I258" s="8" t="n">
        <v>1</v>
      </c>
      <c r="J258" s="11" t="n">
        <v>72.3</v>
      </c>
      <c r="K258" s="4" t="n">
        <v>356</v>
      </c>
      <c r="L258" s="8" t="n">
        <v>1</v>
      </c>
      <c r="M258" s="11" t="n">
        <v>67</v>
      </c>
      <c r="N258" s="4" t="n">
        <v>1534</v>
      </c>
      <c r="O258" s="8" t="n">
        <v>1</v>
      </c>
      <c r="P258" s="4" t="n">
        <f aca="false">H258+K258+N258</f>
        <v>2265</v>
      </c>
      <c r="Q258" s="4" t="n">
        <f aca="false">Q257+P258</f>
        <v>629140</v>
      </c>
      <c r="R258" s="4" t="n">
        <f aca="false">Q258-MAX(0,MAX($Q$2:Q258))</f>
        <v>-440</v>
      </c>
    </row>
    <row r="259" customFormat="false" ht="15" hidden="false" customHeight="false" outlineLevel="0" collapsed="false">
      <c r="A259" s="7" t="n">
        <v>45050</v>
      </c>
      <c r="B259" s="8" t="n">
        <f aca="false">YEAR(A259)</f>
        <v>2023</v>
      </c>
      <c r="C259" s="8" t="n">
        <f aca="false">MONTH(A259)</f>
        <v>5</v>
      </c>
      <c r="D259" s="8" t="s">
        <v>36</v>
      </c>
      <c r="E259" s="9" t="n">
        <v>18081</v>
      </c>
      <c r="F259" s="10" t="n">
        <v>11.84</v>
      </c>
      <c r="G259" s="11" t="n">
        <v>88.5</v>
      </c>
      <c r="H259" s="4" t="n">
        <v>1819</v>
      </c>
      <c r="I259" s="8" t="n">
        <v>1</v>
      </c>
      <c r="J259" s="11" t="n">
        <v>88.7</v>
      </c>
      <c r="K259" s="4" t="n">
        <v>803</v>
      </c>
      <c r="L259" s="8" t="n">
        <v>1</v>
      </c>
      <c r="M259" s="11" t="n">
        <v>84.2</v>
      </c>
      <c r="N259" s="4" t="n">
        <v>2289</v>
      </c>
      <c r="O259" s="8" t="n">
        <v>1</v>
      </c>
      <c r="P259" s="4" t="n">
        <f aca="false">H259+K259+N259</f>
        <v>4911</v>
      </c>
      <c r="Q259" s="4" t="n">
        <f aca="false">Q258+P259</f>
        <v>634051</v>
      </c>
      <c r="R259" s="4" t="n">
        <f aca="false">Q259-MAX(0,MAX($Q$2:Q259))</f>
        <v>0</v>
      </c>
    </row>
    <row r="260" customFormat="false" ht="15" hidden="false" customHeight="false" outlineLevel="0" collapsed="false">
      <c r="A260" s="7" t="n">
        <v>45057</v>
      </c>
      <c r="B260" s="8" t="n">
        <f aca="false">YEAR(A260)</f>
        <v>2023</v>
      </c>
      <c r="C260" s="8" t="n">
        <f aca="false">MONTH(A260)</f>
        <v>5</v>
      </c>
      <c r="D260" s="8" t="s">
        <v>36</v>
      </c>
      <c r="E260" s="9" t="n">
        <v>18357.8</v>
      </c>
      <c r="F260" s="10" t="n">
        <v>13.08</v>
      </c>
      <c r="G260" s="11" t="n">
        <v>82.4</v>
      </c>
      <c r="H260" s="4" t="n">
        <v>976</v>
      </c>
      <c r="I260" s="8" t="n">
        <v>1</v>
      </c>
      <c r="J260" s="11" t="n">
        <v>81.7</v>
      </c>
      <c r="K260" s="4" t="n">
        <v>-1898</v>
      </c>
      <c r="L260" s="8" t="n">
        <v>2</v>
      </c>
      <c r="M260" s="11" t="n">
        <v>77.1</v>
      </c>
      <c r="N260" s="4" t="n">
        <v>401</v>
      </c>
      <c r="O260" s="8" t="n">
        <v>1</v>
      </c>
      <c r="P260" s="4" t="n">
        <f aca="false">H260+K260+N260</f>
        <v>-521</v>
      </c>
      <c r="Q260" s="4" t="n">
        <f aca="false">Q259+P260</f>
        <v>633530</v>
      </c>
      <c r="R260" s="4" t="n">
        <f aca="false">Q260-MAX(0,MAX($Q$2:Q260))</f>
        <v>-521</v>
      </c>
    </row>
    <row r="261" customFormat="false" ht="15" hidden="false" customHeight="false" outlineLevel="0" collapsed="false">
      <c r="A261" s="7" t="n">
        <v>45064</v>
      </c>
      <c r="B261" s="8" t="n">
        <f aca="false">YEAR(A261)</f>
        <v>2023</v>
      </c>
      <c r="C261" s="8" t="n">
        <f aca="false">MONTH(A261)</f>
        <v>5</v>
      </c>
      <c r="D261" s="8" t="s">
        <v>36</v>
      </c>
      <c r="E261" s="9" t="n">
        <v>18287.5</v>
      </c>
      <c r="F261" s="10" t="n">
        <v>13.11</v>
      </c>
      <c r="G261" s="11" t="n">
        <v>69.1</v>
      </c>
      <c r="H261" s="4" t="n">
        <v>-1640</v>
      </c>
      <c r="I261" s="8" t="n">
        <v>2</v>
      </c>
      <c r="J261" s="11" t="n">
        <v>66.8</v>
      </c>
      <c r="K261" s="4" t="n">
        <v>2155</v>
      </c>
      <c r="L261" s="8" t="n">
        <v>1</v>
      </c>
      <c r="M261" s="11" t="n">
        <v>65.1</v>
      </c>
      <c r="N261" s="4" t="n">
        <v>-1557</v>
      </c>
      <c r="O261" s="8" t="n">
        <v>2</v>
      </c>
      <c r="P261" s="4" t="n">
        <f aca="false">H261+K261+N261</f>
        <v>-1042</v>
      </c>
      <c r="Q261" s="4" t="n">
        <f aca="false">Q260+P261</f>
        <v>632488</v>
      </c>
      <c r="R261" s="4" t="n">
        <f aca="false">Q261-MAX(0,MAX($Q$2:Q261))</f>
        <v>-1563</v>
      </c>
    </row>
    <row r="262" customFormat="false" ht="15" hidden="false" customHeight="false" outlineLevel="0" collapsed="false">
      <c r="A262" s="7" t="n">
        <v>45071</v>
      </c>
      <c r="B262" s="8" t="n">
        <f aca="false">YEAR(A262)</f>
        <v>2023</v>
      </c>
      <c r="C262" s="8" t="n">
        <f aca="false">MONTH(A262)</f>
        <v>5</v>
      </c>
      <c r="D262" s="8" t="s">
        <v>36</v>
      </c>
      <c r="E262" s="9" t="n">
        <v>18268.9</v>
      </c>
      <c r="F262" s="10" t="n">
        <v>13.11</v>
      </c>
      <c r="G262" s="11" t="n">
        <v>83</v>
      </c>
      <c r="H262" s="4" t="n">
        <v>-723</v>
      </c>
      <c r="I262" s="8" t="n">
        <v>1</v>
      </c>
      <c r="J262" s="11" t="n">
        <v>81</v>
      </c>
      <c r="K262" s="4" t="n">
        <v>-1883</v>
      </c>
      <c r="L262" s="8" t="n">
        <v>2</v>
      </c>
      <c r="M262" s="11" t="n">
        <v>79.4</v>
      </c>
      <c r="N262" s="4" t="n">
        <v>-1254</v>
      </c>
      <c r="O262" s="8" t="n">
        <v>1</v>
      </c>
      <c r="P262" s="4" t="n">
        <f aca="false">H262+K262+N262</f>
        <v>-3860</v>
      </c>
      <c r="Q262" s="4" t="n">
        <f aca="false">Q261+P262</f>
        <v>628628</v>
      </c>
      <c r="R262" s="4" t="n">
        <f aca="false">Q262-MAX(0,MAX($Q$2:Q262))</f>
        <v>-5423</v>
      </c>
    </row>
    <row r="263" customFormat="false" ht="15" hidden="false" customHeight="false" outlineLevel="0" collapsed="false">
      <c r="A263" s="7" t="n">
        <v>45078</v>
      </c>
      <c r="B263" s="8" t="n">
        <f aca="false">YEAR(A263)</f>
        <v>2023</v>
      </c>
      <c r="C263" s="8" t="n">
        <f aca="false">MONTH(A263)</f>
        <v>6</v>
      </c>
      <c r="D263" s="8" t="s">
        <v>36</v>
      </c>
      <c r="E263" s="9" t="n">
        <v>18579.4</v>
      </c>
      <c r="F263" s="10" t="n">
        <v>11.97</v>
      </c>
      <c r="G263" s="11" t="n">
        <v>90.9</v>
      </c>
      <c r="H263" s="4" t="n">
        <v>-2085</v>
      </c>
      <c r="I263" s="8" t="n">
        <v>2</v>
      </c>
      <c r="J263" s="11" t="n">
        <v>89.8</v>
      </c>
      <c r="K263" s="4" t="n">
        <v>2284</v>
      </c>
      <c r="L263" s="8" t="n">
        <v>1</v>
      </c>
      <c r="M263" s="11" t="n">
        <v>87.1</v>
      </c>
      <c r="N263" s="4" t="n">
        <v>855</v>
      </c>
      <c r="O263" s="8" t="n">
        <v>1</v>
      </c>
      <c r="P263" s="4" t="n">
        <f aca="false">H263+K263+N263</f>
        <v>1054</v>
      </c>
      <c r="Q263" s="4" t="n">
        <f aca="false">Q262+P263</f>
        <v>629682</v>
      </c>
      <c r="R263" s="4" t="n">
        <f aca="false">Q263-MAX(0,MAX($Q$2:Q263))</f>
        <v>-4369</v>
      </c>
    </row>
    <row r="264" customFormat="false" ht="15" hidden="false" customHeight="false" outlineLevel="0" collapsed="false">
      <c r="A264" s="7" t="n">
        <v>45085</v>
      </c>
      <c r="B264" s="8" t="n">
        <f aca="false">YEAR(A264)</f>
        <v>2023</v>
      </c>
      <c r="C264" s="8" t="n">
        <f aca="false">MONTH(A264)</f>
        <v>6</v>
      </c>
      <c r="D264" s="8" t="s">
        <v>36</v>
      </c>
      <c r="E264" s="9" t="n">
        <v>18725.4</v>
      </c>
      <c r="F264" s="10" t="n">
        <v>11.44</v>
      </c>
      <c r="G264" s="11" t="n">
        <v>70.2</v>
      </c>
      <c r="H264" s="4" t="n">
        <v>-1661</v>
      </c>
      <c r="I264" s="8" t="n">
        <v>2</v>
      </c>
      <c r="J264" s="11" t="n">
        <v>69</v>
      </c>
      <c r="K264" s="4" t="n">
        <v>-1637</v>
      </c>
      <c r="L264" s="8" t="n">
        <v>2</v>
      </c>
      <c r="M264" s="11" t="n">
        <v>66</v>
      </c>
      <c r="N264" s="4" t="n">
        <v>-1575</v>
      </c>
      <c r="O264" s="8" t="n">
        <v>2</v>
      </c>
      <c r="P264" s="4" t="n">
        <f aca="false">H264+K264+N264</f>
        <v>-4873</v>
      </c>
      <c r="Q264" s="4" t="n">
        <f aca="false">Q263+P264</f>
        <v>624809</v>
      </c>
      <c r="R264" s="4" t="n">
        <f aca="false">Q264-MAX(0,MAX($Q$2:Q264))</f>
        <v>-9242</v>
      </c>
    </row>
    <row r="265" customFormat="false" ht="15" hidden="false" customHeight="false" outlineLevel="0" collapsed="false">
      <c r="A265" s="7" t="n">
        <v>45092</v>
      </c>
      <c r="B265" s="8" t="n">
        <f aca="false">YEAR(A265)</f>
        <v>2023</v>
      </c>
      <c r="C265" s="8" t="n">
        <f aca="false">MONTH(A265)</f>
        <v>6</v>
      </c>
      <c r="D265" s="8" t="s">
        <v>36</v>
      </c>
      <c r="E265" s="9" t="n">
        <v>18774.4</v>
      </c>
      <c r="F265" s="10" t="n">
        <v>11.16</v>
      </c>
      <c r="G265" s="11" t="n">
        <v>70</v>
      </c>
      <c r="H265" s="4" t="n">
        <v>-1658</v>
      </c>
      <c r="I265" s="8" t="n">
        <v>2</v>
      </c>
      <c r="J265" s="11" t="n">
        <v>69.1</v>
      </c>
      <c r="K265" s="4" t="n">
        <v>-1639</v>
      </c>
      <c r="L265" s="8" t="n">
        <v>2</v>
      </c>
      <c r="M265" s="11" t="n">
        <v>67.6</v>
      </c>
      <c r="N265" s="4" t="n">
        <v>478</v>
      </c>
      <c r="O265" s="8" t="n">
        <v>1</v>
      </c>
      <c r="P265" s="4" t="n">
        <f aca="false">H265+K265+N265</f>
        <v>-2819</v>
      </c>
      <c r="Q265" s="4" t="n">
        <f aca="false">Q264+P265</f>
        <v>621990</v>
      </c>
      <c r="R265" s="4" t="n">
        <f aca="false">Q265-MAX(0,MAX($Q$2:Q265))</f>
        <v>-12061</v>
      </c>
    </row>
    <row r="266" customFormat="false" ht="15" hidden="false" customHeight="false" outlineLevel="0" collapsed="false">
      <c r="A266" s="7" t="n">
        <v>45099</v>
      </c>
      <c r="B266" s="8" t="n">
        <f aca="false">YEAR(A266)</f>
        <v>2023</v>
      </c>
      <c r="C266" s="8" t="n">
        <f aca="false">MONTH(A266)</f>
        <v>6</v>
      </c>
      <c r="D266" s="8" t="s">
        <v>36</v>
      </c>
      <c r="E266" s="9" t="n">
        <v>18853.6</v>
      </c>
      <c r="F266" s="10" t="n">
        <v>11.29</v>
      </c>
      <c r="G266" s="11" t="n">
        <v>78.7</v>
      </c>
      <c r="H266" s="4" t="n">
        <v>-1836</v>
      </c>
      <c r="I266" s="8" t="n">
        <v>2</v>
      </c>
      <c r="J266" s="11" t="n">
        <v>80.1</v>
      </c>
      <c r="K266" s="4" t="n">
        <v>2659</v>
      </c>
      <c r="L266" s="8" t="n">
        <v>1</v>
      </c>
      <c r="M266" s="11" t="n">
        <v>74.4</v>
      </c>
      <c r="N266" s="4" t="n">
        <v>-1748</v>
      </c>
      <c r="O266" s="8" t="n">
        <v>2</v>
      </c>
      <c r="P266" s="4" t="n">
        <f aca="false">H266+K266+N266</f>
        <v>-925</v>
      </c>
      <c r="Q266" s="4" t="n">
        <f aca="false">Q265+P266</f>
        <v>621065</v>
      </c>
      <c r="R266" s="4" t="n">
        <f aca="false">Q266-MAX(0,MAX($Q$2:Q266))</f>
        <v>-12986</v>
      </c>
    </row>
    <row r="267" customFormat="false" ht="15" hidden="false" customHeight="false" outlineLevel="0" collapsed="false">
      <c r="A267" s="7" t="n">
        <v>45105</v>
      </c>
      <c r="B267" s="8" t="n">
        <f aca="false">YEAR(A267)</f>
        <v>2023</v>
      </c>
      <c r="C267" s="8" t="n">
        <f aca="false">MONTH(A267)</f>
        <v>6</v>
      </c>
      <c r="D267" s="8" t="s">
        <v>37</v>
      </c>
      <c r="E267" s="9" t="n">
        <v>18908.2</v>
      </c>
      <c r="F267" s="10" t="n">
        <v>10.78</v>
      </c>
      <c r="G267" s="11" t="n">
        <v>81.1</v>
      </c>
      <c r="H267" s="4" t="n">
        <v>515</v>
      </c>
      <c r="I267" s="8" t="n">
        <v>1</v>
      </c>
      <c r="J267" s="11" t="n">
        <v>78.7</v>
      </c>
      <c r="K267" s="4" t="n">
        <v>2287</v>
      </c>
      <c r="L267" s="8" t="n">
        <v>1</v>
      </c>
      <c r="M267" s="11" t="n">
        <v>74.4</v>
      </c>
      <c r="N267" s="4" t="n">
        <v>1823</v>
      </c>
      <c r="O267" s="8" t="n">
        <v>1</v>
      </c>
      <c r="P267" s="4" t="n">
        <f aca="false">H267+K267+N267</f>
        <v>4625</v>
      </c>
      <c r="Q267" s="4" t="n">
        <f aca="false">Q266+P267</f>
        <v>625690</v>
      </c>
      <c r="R267" s="4" t="n">
        <f aca="false">Q267-MAX(0,MAX($Q$2:Q267))</f>
        <v>-8361</v>
      </c>
    </row>
    <row r="268" customFormat="false" ht="15" hidden="false" customHeight="false" outlineLevel="0" collapsed="false">
      <c r="A268" s="7" t="n">
        <v>45113</v>
      </c>
      <c r="B268" s="8" t="n">
        <f aca="false">YEAR(A268)</f>
        <v>2023</v>
      </c>
      <c r="C268" s="8" t="n">
        <f aca="false">MONTH(A268)</f>
        <v>7</v>
      </c>
      <c r="D268" s="8" t="s">
        <v>36</v>
      </c>
      <c r="E268" s="9" t="n">
        <v>19385.7</v>
      </c>
      <c r="F268" s="10" t="n">
        <v>11.88</v>
      </c>
      <c r="G268" s="11" t="n">
        <v>97.7</v>
      </c>
      <c r="H268" s="4" t="n">
        <v>1841</v>
      </c>
      <c r="I268" s="8" t="n">
        <v>1</v>
      </c>
      <c r="J268" s="11" t="n">
        <v>96.2</v>
      </c>
      <c r="K268" s="4" t="n">
        <v>2289</v>
      </c>
      <c r="L268" s="8" t="n">
        <v>1</v>
      </c>
      <c r="M268" s="11" t="n">
        <v>93.9</v>
      </c>
      <c r="N268" s="4" t="n">
        <v>833</v>
      </c>
      <c r="O268" s="8" t="n">
        <v>1</v>
      </c>
      <c r="P268" s="4" t="n">
        <f aca="false">H268+K268+N268</f>
        <v>4963</v>
      </c>
      <c r="Q268" s="4" t="n">
        <f aca="false">Q267+P268</f>
        <v>630653</v>
      </c>
      <c r="R268" s="4" t="n">
        <f aca="false">Q268-MAX(0,MAX($Q$2:Q268))</f>
        <v>-3398</v>
      </c>
    </row>
    <row r="269" customFormat="false" ht="15" hidden="false" customHeight="false" outlineLevel="0" collapsed="false">
      <c r="A269" s="7" t="n">
        <v>45120</v>
      </c>
      <c r="B269" s="8" t="n">
        <f aca="false">YEAR(A269)</f>
        <v>2023</v>
      </c>
      <c r="C269" s="8" t="n">
        <f aca="false">MONTH(A269)</f>
        <v>7</v>
      </c>
      <c r="D269" s="8" t="s">
        <v>36</v>
      </c>
      <c r="E269" s="9" t="n">
        <v>19495.2</v>
      </c>
      <c r="F269" s="10" t="n">
        <v>10.94</v>
      </c>
      <c r="G269" s="11" t="n">
        <v>105.4</v>
      </c>
      <c r="H269" s="4" t="n">
        <v>-2382</v>
      </c>
      <c r="I269" s="8" t="n">
        <v>2</v>
      </c>
      <c r="J269" s="11" t="n">
        <v>103.3</v>
      </c>
      <c r="K269" s="4" t="n">
        <v>-2339</v>
      </c>
      <c r="L269" s="8" t="n">
        <v>2</v>
      </c>
      <c r="M269" s="11" t="n">
        <v>99.1</v>
      </c>
      <c r="N269" s="4" t="n">
        <v>2066</v>
      </c>
      <c r="O269" s="8" t="n">
        <v>1</v>
      </c>
      <c r="P269" s="4" t="n">
        <f aca="false">H269+K269+N269</f>
        <v>-2655</v>
      </c>
      <c r="Q269" s="4" t="n">
        <f aca="false">Q268+P269</f>
        <v>627998</v>
      </c>
      <c r="R269" s="4" t="n">
        <f aca="false">Q269-MAX(0,MAX($Q$2:Q269))</f>
        <v>-6053</v>
      </c>
    </row>
    <row r="270" customFormat="false" ht="15" hidden="false" customHeight="false" outlineLevel="0" collapsed="false">
      <c r="A270" s="7" t="n">
        <v>45127</v>
      </c>
      <c r="B270" s="8" t="n">
        <f aca="false">YEAR(A270)</f>
        <v>2023</v>
      </c>
      <c r="C270" s="8" t="n">
        <f aca="false">MONTH(A270)</f>
        <v>7</v>
      </c>
      <c r="D270" s="8" t="s">
        <v>36</v>
      </c>
      <c r="E270" s="9" t="n">
        <v>19831.7</v>
      </c>
      <c r="F270" s="10" t="n">
        <v>11.6</v>
      </c>
      <c r="G270" s="11" t="n">
        <v>102</v>
      </c>
      <c r="H270" s="4" t="n">
        <v>-2313</v>
      </c>
      <c r="I270" s="8" t="n">
        <v>2</v>
      </c>
      <c r="J270" s="11" t="n">
        <v>101.8</v>
      </c>
      <c r="K270" s="4" t="n">
        <v>-2308</v>
      </c>
      <c r="L270" s="8" t="n">
        <v>2</v>
      </c>
      <c r="M270" s="11" t="n">
        <v>95.9</v>
      </c>
      <c r="N270" s="4" t="n">
        <v>-2188</v>
      </c>
      <c r="O270" s="8" t="n">
        <v>2</v>
      </c>
      <c r="P270" s="4" t="n">
        <f aca="false">H270+K270+N270</f>
        <v>-6809</v>
      </c>
      <c r="Q270" s="4" t="n">
        <f aca="false">Q269+P270</f>
        <v>621189</v>
      </c>
      <c r="R270" s="4" t="n">
        <f aca="false">Q270-MAX(0,MAX($Q$2:Q270))</f>
        <v>-12862</v>
      </c>
    </row>
    <row r="271" customFormat="false" ht="15" hidden="false" customHeight="false" outlineLevel="0" collapsed="false">
      <c r="A271" s="7" t="n">
        <v>45134</v>
      </c>
      <c r="B271" s="8" t="n">
        <f aca="false">YEAR(A271)</f>
        <v>2023</v>
      </c>
      <c r="C271" s="8" t="n">
        <f aca="false">MONTH(A271)</f>
        <v>7</v>
      </c>
      <c r="D271" s="8" t="s">
        <v>36</v>
      </c>
      <c r="E271" s="9" t="n">
        <v>19850.9</v>
      </c>
      <c r="F271" s="10" t="n">
        <v>10.46</v>
      </c>
      <c r="G271" s="11" t="n">
        <v>103.4</v>
      </c>
      <c r="H271" s="4" t="n">
        <v>2524</v>
      </c>
      <c r="I271" s="8" t="n">
        <v>1</v>
      </c>
      <c r="J271" s="11" t="n">
        <v>101.2</v>
      </c>
      <c r="K271" s="4" t="n">
        <v>2126</v>
      </c>
      <c r="L271" s="8" t="n">
        <v>1</v>
      </c>
      <c r="M271" s="11" t="n">
        <v>97.3</v>
      </c>
      <c r="N271" s="4" t="n">
        <v>2584</v>
      </c>
      <c r="O271" s="8" t="n">
        <v>1</v>
      </c>
      <c r="P271" s="4" t="n">
        <f aca="false">H271+K271+N271</f>
        <v>7234</v>
      </c>
      <c r="Q271" s="4" t="n">
        <f aca="false">Q270+P271</f>
        <v>628423</v>
      </c>
      <c r="R271" s="4" t="n">
        <f aca="false">Q271-MAX(0,MAX($Q$2:Q271))</f>
        <v>-5628</v>
      </c>
    </row>
    <row r="272" customFormat="false" ht="15" hidden="false" customHeight="false" outlineLevel="0" collapsed="false">
      <c r="A272" s="7" t="n">
        <v>45141</v>
      </c>
      <c r="B272" s="8" t="n">
        <f aca="false">YEAR(A272)</f>
        <v>2023</v>
      </c>
      <c r="C272" s="8" t="n">
        <f aca="false">MONTH(A272)</f>
        <v>8</v>
      </c>
      <c r="D272" s="8" t="s">
        <v>36</v>
      </c>
      <c r="E272" s="9" t="n">
        <v>19463.8</v>
      </c>
      <c r="F272" s="10" t="n">
        <v>11.28</v>
      </c>
      <c r="G272" s="11" t="n">
        <v>95.8</v>
      </c>
      <c r="H272" s="4" t="n">
        <v>-2186</v>
      </c>
      <c r="I272" s="8" t="n">
        <v>2</v>
      </c>
      <c r="J272" s="11" t="n">
        <v>94.3</v>
      </c>
      <c r="K272" s="4" t="n">
        <v>-2155</v>
      </c>
      <c r="L272" s="8" t="n">
        <v>2</v>
      </c>
      <c r="M272" s="11" t="n">
        <v>89.8</v>
      </c>
      <c r="N272" s="4" t="n">
        <v>1712</v>
      </c>
      <c r="O272" s="8" t="n">
        <v>1</v>
      </c>
      <c r="P272" s="4" t="n">
        <f aca="false">H272+K272+N272</f>
        <v>-2629</v>
      </c>
      <c r="Q272" s="4" t="n">
        <f aca="false">Q271+P272</f>
        <v>625794</v>
      </c>
      <c r="R272" s="4" t="n">
        <f aca="false">Q272-MAX(0,MAX($Q$2:Q272))</f>
        <v>-8257</v>
      </c>
    </row>
    <row r="273" customFormat="false" ht="15" hidden="false" customHeight="false" outlineLevel="0" collapsed="false">
      <c r="A273" s="7" t="n">
        <v>45148</v>
      </c>
      <c r="B273" s="8" t="n">
        <f aca="false">YEAR(A273)</f>
        <v>2023</v>
      </c>
      <c r="C273" s="8" t="n">
        <f aca="false">MONTH(A273)</f>
        <v>8</v>
      </c>
      <c r="D273" s="8" t="s">
        <v>36</v>
      </c>
      <c r="E273" s="9" t="n">
        <v>19605.6</v>
      </c>
      <c r="F273" s="10" t="n">
        <v>11.14</v>
      </c>
      <c r="G273" s="11" t="n">
        <v>90.7</v>
      </c>
      <c r="H273" s="4" t="n">
        <v>-2082</v>
      </c>
      <c r="I273" s="8" t="n">
        <v>2</v>
      </c>
      <c r="J273" s="11" t="n">
        <v>87.3</v>
      </c>
      <c r="K273" s="4" t="n">
        <v>1925</v>
      </c>
      <c r="L273" s="8" t="n">
        <v>1</v>
      </c>
      <c r="M273" s="11" t="n">
        <v>83.4</v>
      </c>
      <c r="N273" s="4" t="n">
        <v>-1932</v>
      </c>
      <c r="O273" s="8" t="n">
        <v>2</v>
      </c>
      <c r="P273" s="4" t="n">
        <f aca="false">H273+K273+N273</f>
        <v>-2089</v>
      </c>
      <c r="Q273" s="4" t="n">
        <f aca="false">Q272+P273</f>
        <v>623705</v>
      </c>
      <c r="R273" s="4" t="n">
        <f aca="false">Q273-MAX(0,MAX($Q$2:Q273))</f>
        <v>-10346</v>
      </c>
    </row>
    <row r="274" customFormat="false" ht="15" hidden="false" customHeight="false" outlineLevel="0" collapsed="false">
      <c r="A274" s="7" t="n">
        <v>45155</v>
      </c>
      <c r="B274" s="8" t="n">
        <f aca="false">YEAR(A274)</f>
        <v>2023</v>
      </c>
      <c r="C274" s="8" t="n">
        <f aca="false">MONTH(A274)</f>
        <v>8</v>
      </c>
      <c r="D274" s="8" t="s">
        <v>36</v>
      </c>
      <c r="E274" s="9" t="n">
        <v>19450.6</v>
      </c>
      <c r="F274" s="10" t="n">
        <v>12.13</v>
      </c>
      <c r="G274" s="11" t="n">
        <v>94.8</v>
      </c>
      <c r="H274" s="4" t="n">
        <v>1890</v>
      </c>
      <c r="I274" s="8" t="n">
        <v>1</v>
      </c>
      <c r="J274" s="11" t="n">
        <v>93</v>
      </c>
      <c r="K274" s="4" t="n">
        <v>1948</v>
      </c>
      <c r="L274" s="8" t="n">
        <v>1</v>
      </c>
      <c r="M274" s="11" t="n">
        <v>88.9</v>
      </c>
      <c r="N274" s="4" t="n">
        <v>1570</v>
      </c>
      <c r="O274" s="8" t="n">
        <v>1</v>
      </c>
      <c r="P274" s="4" t="n">
        <f aca="false">H274+K274+N274</f>
        <v>5408</v>
      </c>
      <c r="Q274" s="4" t="n">
        <f aca="false">Q273+P274</f>
        <v>629113</v>
      </c>
      <c r="R274" s="4" t="n">
        <f aca="false">Q274-MAX(0,MAX($Q$2:Q274))</f>
        <v>-4938</v>
      </c>
    </row>
    <row r="275" customFormat="false" ht="15" hidden="false" customHeight="false" outlineLevel="0" collapsed="false">
      <c r="A275" s="7" t="n">
        <v>45162</v>
      </c>
      <c r="B275" s="8" t="n">
        <f aca="false">YEAR(A275)</f>
        <v>2023</v>
      </c>
      <c r="C275" s="8" t="n">
        <f aca="false">MONTH(A275)</f>
        <v>8</v>
      </c>
      <c r="D275" s="8" t="s">
        <v>36</v>
      </c>
      <c r="E275" s="9" t="n">
        <v>19535.2</v>
      </c>
      <c r="F275" s="10" t="n">
        <v>11.73</v>
      </c>
      <c r="G275" s="11" t="n">
        <v>111.7</v>
      </c>
      <c r="H275" s="4" t="n">
        <v>-2512</v>
      </c>
      <c r="I275" s="8" t="n">
        <v>2</v>
      </c>
      <c r="J275" s="11" t="n">
        <v>109.7</v>
      </c>
      <c r="K275" s="4" t="n">
        <v>-2471</v>
      </c>
      <c r="L275" s="8" t="n">
        <v>2</v>
      </c>
      <c r="M275" s="11" t="n">
        <v>105.4</v>
      </c>
      <c r="N275" s="4" t="n">
        <v>2612</v>
      </c>
      <c r="O275" s="8" t="n">
        <v>1</v>
      </c>
      <c r="P275" s="4" t="n">
        <f aca="false">H275+K275+N275</f>
        <v>-2371</v>
      </c>
      <c r="Q275" s="4" t="n">
        <f aca="false">Q274+P275</f>
        <v>626742</v>
      </c>
      <c r="R275" s="4" t="n">
        <f aca="false">Q275-MAX(0,MAX($Q$2:Q275))</f>
        <v>-7309</v>
      </c>
    </row>
    <row r="276" customFormat="false" ht="15" hidden="false" customHeight="false" outlineLevel="0" collapsed="false">
      <c r="A276" s="7" t="n">
        <v>45169</v>
      </c>
      <c r="B276" s="8" t="n">
        <f aca="false">YEAR(A276)</f>
        <v>2023</v>
      </c>
      <c r="C276" s="8" t="n">
        <f aca="false">MONTH(A276)</f>
        <v>8</v>
      </c>
      <c r="D276" s="8" t="s">
        <v>36</v>
      </c>
      <c r="E276" s="9" t="n">
        <v>19375.6</v>
      </c>
      <c r="F276" s="10" t="n">
        <v>11.8</v>
      </c>
      <c r="G276" s="11" t="n">
        <v>74.2</v>
      </c>
      <c r="H276" s="4" t="n">
        <v>2268</v>
      </c>
      <c r="I276" s="8" t="n">
        <v>1</v>
      </c>
      <c r="J276" s="11" t="n">
        <v>71.6</v>
      </c>
      <c r="K276" s="4" t="n">
        <v>-1690</v>
      </c>
      <c r="L276" s="8" t="n">
        <v>2</v>
      </c>
      <c r="M276" s="11" t="n">
        <v>70</v>
      </c>
      <c r="N276" s="4" t="n">
        <v>496</v>
      </c>
      <c r="O276" s="8" t="n">
        <v>1</v>
      </c>
      <c r="P276" s="4" t="n">
        <f aca="false">H276+K276+N276</f>
        <v>1074</v>
      </c>
      <c r="Q276" s="4" t="n">
        <f aca="false">Q275+P276</f>
        <v>627816</v>
      </c>
      <c r="R276" s="4" t="n">
        <f aca="false">Q276-MAX(0,MAX($Q$2:Q276))</f>
        <v>-6235</v>
      </c>
    </row>
    <row r="277" customFormat="false" ht="15" hidden="false" customHeight="false" outlineLevel="0" collapsed="false">
      <c r="A277" s="7" t="n">
        <v>45176</v>
      </c>
      <c r="B277" s="8" t="n">
        <f aca="false">YEAR(A277)</f>
        <v>2023</v>
      </c>
      <c r="C277" s="8" t="n">
        <f aca="false">MONTH(A277)</f>
        <v>9</v>
      </c>
      <c r="D277" s="8" t="s">
        <v>36</v>
      </c>
      <c r="E277" s="9" t="n">
        <v>19598.6</v>
      </c>
      <c r="F277" s="10" t="n">
        <v>10.68</v>
      </c>
      <c r="G277" s="11" t="n">
        <v>68.2</v>
      </c>
      <c r="H277" s="4" t="n">
        <v>-1620</v>
      </c>
      <c r="I277" s="8" t="n">
        <v>2</v>
      </c>
      <c r="J277" s="11" t="n">
        <v>63.4</v>
      </c>
      <c r="K277" s="4" t="n">
        <v>796</v>
      </c>
      <c r="L277" s="8" t="n">
        <v>1</v>
      </c>
      <c r="M277" s="11" t="n">
        <v>61.2</v>
      </c>
      <c r="N277" s="4" t="n">
        <v>1648</v>
      </c>
      <c r="O277" s="8" t="n">
        <v>1</v>
      </c>
      <c r="P277" s="4" t="n">
        <f aca="false">H277+K277+N277</f>
        <v>824</v>
      </c>
      <c r="Q277" s="4" t="n">
        <f aca="false">Q276+P277</f>
        <v>628640</v>
      </c>
      <c r="R277" s="4" t="n">
        <f aca="false">Q277-MAX(0,MAX($Q$2:Q277))</f>
        <v>-5411</v>
      </c>
    </row>
    <row r="278" customFormat="false" ht="15" hidden="false" customHeight="false" outlineLevel="0" collapsed="false">
      <c r="A278" s="7" t="n">
        <v>45183</v>
      </c>
      <c r="B278" s="8" t="n">
        <f aca="false">YEAR(A278)</f>
        <v>2023</v>
      </c>
      <c r="C278" s="8" t="n">
        <f aca="false">MONTH(A278)</f>
        <v>9</v>
      </c>
      <c r="D278" s="8" t="s">
        <v>36</v>
      </c>
      <c r="E278" s="9" t="n">
        <v>20128</v>
      </c>
      <c r="F278" s="10" t="n">
        <v>11.83</v>
      </c>
      <c r="G278" s="11" t="n">
        <v>104</v>
      </c>
      <c r="H278" s="4" t="n">
        <v>-2353</v>
      </c>
      <c r="I278" s="8" t="n">
        <v>2</v>
      </c>
      <c r="J278" s="11" t="n">
        <v>101.7</v>
      </c>
      <c r="K278" s="4" t="n">
        <v>2444</v>
      </c>
      <c r="L278" s="8" t="n">
        <v>1</v>
      </c>
      <c r="M278" s="11" t="n">
        <v>98.1</v>
      </c>
      <c r="N278" s="4" t="n">
        <v>1122</v>
      </c>
      <c r="O278" s="8" t="n">
        <v>1</v>
      </c>
      <c r="P278" s="4" t="n">
        <f aca="false">H278+K278+N278</f>
        <v>1213</v>
      </c>
      <c r="Q278" s="4" t="n">
        <f aca="false">Q277+P278</f>
        <v>629853</v>
      </c>
      <c r="R278" s="4" t="n">
        <f aca="false">Q278-MAX(0,MAX($Q$2:Q278))</f>
        <v>-4198</v>
      </c>
    </row>
    <row r="279" customFormat="false" ht="15" hidden="false" customHeight="false" outlineLevel="0" collapsed="false">
      <c r="A279" s="7" t="n">
        <v>45190</v>
      </c>
      <c r="B279" s="8" t="n">
        <f aca="false">YEAR(A279)</f>
        <v>2023</v>
      </c>
      <c r="C279" s="8" t="n">
        <f aca="false">MONTH(A279)</f>
        <v>9</v>
      </c>
      <c r="D279" s="8" t="s">
        <v>36</v>
      </c>
      <c r="E279" s="9" t="n">
        <v>19840.6</v>
      </c>
      <c r="F279" s="10" t="n">
        <v>11.13</v>
      </c>
      <c r="G279" s="11" t="n">
        <v>103.5</v>
      </c>
      <c r="H279" s="4" t="n">
        <v>2737</v>
      </c>
      <c r="I279" s="8" t="n">
        <v>1</v>
      </c>
      <c r="J279" s="11" t="n">
        <v>103.2</v>
      </c>
      <c r="K279" s="4" t="n">
        <v>3191</v>
      </c>
      <c r="L279" s="8" t="n">
        <v>1</v>
      </c>
      <c r="M279" s="11" t="n">
        <v>97.8</v>
      </c>
      <c r="N279" s="4" t="n">
        <v>2345</v>
      </c>
      <c r="O279" s="8" t="n">
        <v>1</v>
      </c>
      <c r="P279" s="4" t="n">
        <f aca="false">H279+K279+N279</f>
        <v>8273</v>
      </c>
      <c r="Q279" s="4" t="n">
        <f aca="false">Q278+P279</f>
        <v>638126</v>
      </c>
      <c r="R279" s="4" t="n">
        <f aca="false">Q279-MAX(0,MAX($Q$2:Q279))</f>
        <v>0</v>
      </c>
    </row>
    <row r="280" customFormat="false" ht="15" hidden="false" customHeight="false" outlineLevel="0" collapsed="false">
      <c r="A280" s="7" t="n">
        <v>45197</v>
      </c>
      <c r="B280" s="8" t="n">
        <f aca="false">YEAR(A280)</f>
        <v>2023</v>
      </c>
      <c r="C280" s="8" t="n">
        <f aca="false">MONTH(A280)</f>
        <v>9</v>
      </c>
      <c r="D280" s="8" t="s">
        <v>36</v>
      </c>
      <c r="E280" s="9" t="n">
        <v>19761.8</v>
      </c>
      <c r="F280" s="10" t="n">
        <v>11.59</v>
      </c>
      <c r="G280" s="11" t="n">
        <v>87.5</v>
      </c>
      <c r="H280" s="4" t="n">
        <v>1330</v>
      </c>
      <c r="I280" s="8" t="n">
        <v>1</v>
      </c>
      <c r="J280" s="11" t="n">
        <v>86.2</v>
      </c>
      <c r="K280" s="4" t="n">
        <v>1172</v>
      </c>
      <c r="L280" s="8" t="n">
        <v>1</v>
      </c>
      <c r="M280" s="11" t="n">
        <v>81.9</v>
      </c>
      <c r="N280" s="4" t="n">
        <v>-1901</v>
      </c>
      <c r="O280" s="8" t="n">
        <v>2</v>
      </c>
      <c r="P280" s="4" t="n">
        <f aca="false">H280+K280+N280</f>
        <v>601</v>
      </c>
      <c r="Q280" s="4" t="n">
        <f aca="false">Q279+P280</f>
        <v>638727</v>
      </c>
      <c r="R280" s="4" t="n">
        <f aca="false">Q280-MAX(0,MAX($Q$2:Q280))</f>
        <v>0</v>
      </c>
    </row>
    <row r="281" customFormat="false" ht="15" hidden="false" customHeight="false" outlineLevel="0" collapsed="false">
      <c r="A281" s="7" t="n">
        <v>45204</v>
      </c>
      <c r="B281" s="8" t="n">
        <f aca="false">YEAR(A281)</f>
        <v>2023</v>
      </c>
      <c r="C281" s="8" t="n">
        <f aca="false">MONTH(A281)</f>
        <v>10</v>
      </c>
      <c r="D281" s="8" t="s">
        <v>36</v>
      </c>
      <c r="E281" s="9" t="n">
        <v>19521.8</v>
      </c>
      <c r="F281" s="10" t="n">
        <v>11.66</v>
      </c>
      <c r="G281" s="11" t="n">
        <v>92.6</v>
      </c>
      <c r="H281" s="4" t="n">
        <v>-2121</v>
      </c>
      <c r="I281" s="8" t="n">
        <v>2</v>
      </c>
      <c r="J281" s="11" t="n">
        <v>90.6</v>
      </c>
      <c r="K281" s="4" t="n">
        <v>-2079</v>
      </c>
      <c r="L281" s="8" t="n">
        <v>2</v>
      </c>
      <c r="M281" s="11" t="n">
        <v>87.4</v>
      </c>
      <c r="N281" s="4" t="n">
        <v>-2014</v>
      </c>
      <c r="O281" s="8" t="n">
        <v>2</v>
      </c>
      <c r="P281" s="4" t="n">
        <f aca="false">H281+K281+N281</f>
        <v>-6214</v>
      </c>
      <c r="Q281" s="4" t="n">
        <f aca="false">Q280+P281</f>
        <v>632513</v>
      </c>
      <c r="R281" s="4" t="n">
        <f aca="false">Q281-MAX(0,MAX($Q$2:Q281))</f>
        <v>-6214</v>
      </c>
    </row>
    <row r="282" customFormat="false" ht="15" hidden="false" customHeight="false" outlineLevel="0" collapsed="false">
      <c r="A282" s="7" t="n">
        <v>45211</v>
      </c>
      <c r="B282" s="8" t="n">
        <f aca="false">YEAR(A282)</f>
        <v>2023</v>
      </c>
      <c r="C282" s="8" t="n">
        <f aca="false">MONTH(A282)</f>
        <v>10</v>
      </c>
      <c r="D282" s="8" t="s">
        <v>36</v>
      </c>
      <c r="E282" s="9" t="n">
        <v>19822.7</v>
      </c>
      <c r="F282" s="10" t="n">
        <v>10.99</v>
      </c>
      <c r="G282" s="11" t="n">
        <v>94.5</v>
      </c>
      <c r="H282" s="4" t="n">
        <v>2533</v>
      </c>
      <c r="I282" s="8" t="n">
        <v>1</v>
      </c>
      <c r="J282" s="11" t="n">
        <v>91.4</v>
      </c>
      <c r="K282" s="4" t="n">
        <v>2100</v>
      </c>
      <c r="L282" s="8" t="n">
        <v>1</v>
      </c>
      <c r="M282" s="11" t="n">
        <v>86.2</v>
      </c>
      <c r="N282" s="4" t="n">
        <v>1462</v>
      </c>
      <c r="O282" s="8" t="n">
        <v>1</v>
      </c>
      <c r="P282" s="4" t="n">
        <f aca="false">H282+K282+N282</f>
        <v>6095</v>
      </c>
      <c r="Q282" s="4" t="n">
        <f aca="false">Q281+P282</f>
        <v>638608</v>
      </c>
      <c r="R282" s="4" t="n">
        <f aca="false">Q282-MAX(0,MAX($Q$2:Q282))</f>
        <v>-119</v>
      </c>
    </row>
    <row r="283" customFormat="false" ht="15" hidden="false" customHeight="false" outlineLevel="0" collapsed="false">
      <c r="A283" s="7" t="n">
        <v>45218</v>
      </c>
      <c r="B283" s="8" t="n">
        <f aca="false">YEAR(A283)</f>
        <v>2023</v>
      </c>
      <c r="C283" s="8" t="n">
        <f aca="false">MONTH(A283)</f>
        <v>10</v>
      </c>
      <c r="D283" s="8" t="s">
        <v>36</v>
      </c>
      <c r="E283" s="9" t="n">
        <v>19545.2</v>
      </c>
      <c r="F283" s="10" t="n">
        <v>10.97</v>
      </c>
      <c r="G283" s="11" t="n">
        <v>80.1</v>
      </c>
      <c r="H283" s="4" t="n">
        <v>-1864</v>
      </c>
      <c r="I283" s="8" t="n">
        <v>2</v>
      </c>
      <c r="J283" s="11" t="n">
        <v>79</v>
      </c>
      <c r="K283" s="4" t="n">
        <v>-1842</v>
      </c>
      <c r="L283" s="8" t="n">
        <v>2</v>
      </c>
      <c r="M283" s="11" t="n">
        <v>75.9</v>
      </c>
      <c r="N283" s="4" t="n">
        <v>-1779</v>
      </c>
      <c r="O283" s="8" t="n">
        <v>2</v>
      </c>
      <c r="P283" s="4" t="n">
        <f aca="false">H283+K283+N283</f>
        <v>-5485</v>
      </c>
      <c r="Q283" s="4" t="n">
        <f aca="false">Q282+P283</f>
        <v>633123</v>
      </c>
      <c r="R283" s="4" t="n">
        <f aca="false">Q283-MAX(0,MAX($Q$2:Q283))</f>
        <v>-5604</v>
      </c>
    </row>
    <row r="284" customFormat="false" ht="15" hidden="false" customHeight="false" outlineLevel="0" collapsed="false">
      <c r="A284" s="7" t="n">
        <v>45225</v>
      </c>
      <c r="B284" s="8" t="n">
        <f aca="false">YEAR(A284)</f>
        <v>2023</v>
      </c>
      <c r="C284" s="8" t="n">
        <f aca="false">MONTH(A284)</f>
        <v>10</v>
      </c>
      <c r="D284" s="8" t="s">
        <v>36</v>
      </c>
      <c r="E284" s="9" t="n">
        <v>19027.2</v>
      </c>
      <c r="F284" s="10" t="n">
        <v>11.31</v>
      </c>
      <c r="G284" s="11" t="n">
        <v>91</v>
      </c>
      <c r="H284" s="4" t="n">
        <v>1259</v>
      </c>
      <c r="I284" s="8" t="n">
        <v>1</v>
      </c>
      <c r="J284" s="11" t="n">
        <v>91.1</v>
      </c>
      <c r="K284" s="4" t="n">
        <v>2903</v>
      </c>
      <c r="L284" s="8" t="n">
        <v>1</v>
      </c>
      <c r="M284" s="11" t="n">
        <v>84.8</v>
      </c>
      <c r="N284" s="4" t="n">
        <v>1620</v>
      </c>
      <c r="O284" s="8" t="n">
        <v>1</v>
      </c>
      <c r="P284" s="4" t="n">
        <f aca="false">H284+K284+N284</f>
        <v>5782</v>
      </c>
      <c r="Q284" s="4" t="n">
        <f aca="false">Q283+P284</f>
        <v>638905</v>
      </c>
      <c r="R284" s="4" t="n">
        <f aca="false">Q284-MAX(0,MAX($Q$2:Q284))</f>
        <v>0</v>
      </c>
    </row>
    <row r="285" customFormat="false" ht="15" hidden="false" customHeight="false" outlineLevel="0" collapsed="false">
      <c r="A285" s="7" t="n">
        <v>45232</v>
      </c>
      <c r="B285" s="8" t="n">
        <f aca="false">YEAR(A285)</f>
        <v>2023</v>
      </c>
      <c r="C285" s="8" t="n">
        <f aca="false">MONTH(A285)</f>
        <v>11</v>
      </c>
      <c r="D285" s="8" t="s">
        <v>36</v>
      </c>
      <c r="E285" s="9" t="n">
        <v>19120</v>
      </c>
      <c r="F285" s="10" t="n">
        <v>12.05</v>
      </c>
      <c r="G285" s="11" t="n">
        <v>93</v>
      </c>
      <c r="H285" s="4" t="n">
        <v>1896</v>
      </c>
      <c r="I285" s="8" t="n">
        <v>1</v>
      </c>
      <c r="J285" s="11" t="n">
        <v>92.1</v>
      </c>
      <c r="K285" s="4" t="n">
        <v>2366</v>
      </c>
      <c r="L285" s="8" t="n">
        <v>1</v>
      </c>
      <c r="M285" s="11" t="n">
        <v>87.6</v>
      </c>
      <c r="N285" s="4" t="n">
        <v>1343</v>
      </c>
      <c r="O285" s="8" t="n">
        <v>1</v>
      </c>
      <c r="P285" s="4" t="n">
        <f aca="false">H285+K285+N285</f>
        <v>5605</v>
      </c>
      <c r="Q285" s="4" t="n">
        <f aca="false">Q284+P285</f>
        <v>644510</v>
      </c>
      <c r="R285" s="4" t="n">
        <f aca="false">Q285-MAX(0,MAX($Q$2:Q285))</f>
        <v>0</v>
      </c>
    </row>
    <row r="286" customFormat="false" ht="15" hidden="false" customHeight="false" outlineLevel="0" collapsed="false">
      <c r="A286" s="7" t="n">
        <v>45239</v>
      </c>
      <c r="B286" s="8" t="n">
        <f aca="false">YEAR(A286)</f>
        <v>2023</v>
      </c>
      <c r="C286" s="8" t="n">
        <f aca="false">MONTH(A286)</f>
        <v>11</v>
      </c>
      <c r="D286" s="8" t="s">
        <v>36</v>
      </c>
      <c r="E286" s="9" t="n">
        <v>19457.4</v>
      </c>
      <c r="F286" s="10" t="n">
        <v>11.04</v>
      </c>
      <c r="G286" s="11" t="n">
        <v>82.6</v>
      </c>
      <c r="H286" s="4" t="n">
        <v>-196</v>
      </c>
      <c r="I286" s="8" t="n">
        <v>1</v>
      </c>
      <c r="J286" s="11" t="n">
        <v>81.4</v>
      </c>
      <c r="K286" s="4" t="n">
        <v>-280</v>
      </c>
      <c r="L286" s="8" t="n">
        <v>1</v>
      </c>
      <c r="M286" s="11" t="n">
        <v>75.7</v>
      </c>
      <c r="N286" s="4" t="n">
        <v>1611</v>
      </c>
      <c r="O286" s="8" t="n">
        <v>1</v>
      </c>
      <c r="P286" s="4" t="n">
        <f aca="false">H286+K286+N286</f>
        <v>1135</v>
      </c>
      <c r="Q286" s="4" t="n">
        <f aca="false">Q285+P286</f>
        <v>645645</v>
      </c>
      <c r="R286" s="4" t="n">
        <f aca="false">Q286-MAX(0,MAX($Q$2:Q286))</f>
        <v>0</v>
      </c>
    </row>
    <row r="287" customFormat="false" ht="15" hidden="false" customHeight="false" outlineLevel="0" collapsed="false">
      <c r="A287" s="7" t="n">
        <v>45246</v>
      </c>
      <c r="B287" s="8" t="n">
        <f aca="false">YEAR(A287)</f>
        <v>2023</v>
      </c>
      <c r="C287" s="8" t="n">
        <f aca="false">MONTH(A287)</f>
        <v>11</v>
      </c>
      <c r="D287" s="8" t="s">
        <v>36</v>
      </c>
      <c r="E287" s="9" t="n">
        <v>19674.7</v>
      </c>
      <c r="F287" s="10" t="n">
        <v>11.14</v>
      </c>
      <c r="G287" s="11" t="n">
        <v>78.6</v>
      </c>
      <c r="H287" s="4" t="n">
        <v>2115</v>
      </c>
      <c r="I287" s="8" t="n">
        <v>1</v>
      </c>
      <c r="J287" s="11" t="n">
        <v>76.5</v>
      </c>
      <c r="K287" s="4" t="n">
        <v>1537</v>
      </c>
      <c r="L287" s="8" t="n">
        <v>1</v>
      </c>
      <c r="M287" s="11" t="n">
        <v>73.4</v>
      </c>
      <c r="N287" s="4" t="n">
        <v>1320</v>
      </c>
      <c r="O287" s="8" t="n">
        <v>1</v>
      </c>
      <c r="P287" s="4" t="n">
        <f aca="false">H287+K287+N287</f>
        <v>4972</v>
      </c>
      <c r="Q287" s="4" t="n">
        <f aca="false">Q286+P287</f>
        <v>650617</v>
      </c>
      <c r="R287" s="4" t="n">
        <f aca="false">Q287-MAX(0,MAX($Q$2:Q287))</f>
        <v>0</v>
      </c>
    </row>
    <row r="288" customFormat="false" ht="15" hidden="false" customHeight="false" outlineLevel="0" collapsed="false">
      <c r="A288" s="7" t="n">
        <v>45253</v>
      </c>
      <c r="B288" s="8" t="n">
        <f aca="false">YEAR(A288)</f>
        <v>2023</v>
      </c>
      <c r="C288" s="8" t="n">
        <f aca="false">MONTH(A288)</f>
        <v>11</v>
      </c>
      <c r="D288" s="8" t="s">
        <v>36</v>
      </c>
      <c r="E288" s="9" t="n">
        <v>19828.4</v>
      </c>
      <c r="F288" s="10" t="n">
        <v>11.87</v>
      </c>
      <c r="G288" s="11" t="n">
        <v>73.9</v>
      </c>
      <c r="H288" s="4" t="n">
        <v>1854</v>
      </c>
      <c r="I288" s="8" t="n">
        <v>1</v>
      </c>
      <c r="J288" s="11" t="n">
        <v>75.2</v>
      </c>
      <c r="K288" s="4" t="n">
        <v>2569</v>
      </c>
      <c r="L288" s="8" t="n">
        <v>1</v>
      </c>
      <c r="M288" s="11" t="n">
        <v>69</v>
      </c>
      <c r="N288" s="4" t="n">
        <v>1193</v>
      </c>
      <c r="O288" s="8" t="n">
        <v>1</v>
      </c>
      <c r="P288" s="4" t="n">
        <f aca="false">H288+K288+N288</f>
        <v>5616</v>
      </c>
      <c r="Q288" s="4" t="n">
        <f aca="false">Q287+P288</f>
        <v>656233</v>
      </c>
      <c r="R288" s="4" t="n">
        <f aca="false">Q288-MAX(0,MAX($Q$2:Q288))</f>
        <v>0</v>
      </c>
    </row>
    <row r="289" customFormat="false" ht="15" hidden="false" customHeight="false" outlineLevel="0" collapsed="false">
      <c r="A289" s="7" t="n">
        <v>45260</v>
      </c>
      <c r="B289" s="8" t="n">
        <f aca="false">YEAR(A289)</f>
        <v>2023</v>
      </c>
      <c r="C289" s="8" t="n">
        <f aca="false">MONTH(A289)</f>
        <v>11</v>
      </c>
      <c r="D289" s="8" t="s">
        <v>36</v>
      </c>
      <c r="E289" s="9" t="n">
        <v>20108.5</v>
      </c>
      <c r="F289" s="10" t="n">
        <v>12.71</v>
      </c>
      <c r="G289" s="11" t="n">
        <v>92.3</v>
      </c>
      <c r="H289" s="4" t="n">
        <v>167</v>
      </c>
      <c r="I289" s="8" t="n">
        <v>1</v>
      </c>
      <c r="J289" s="11" t="n">
        <v>91.3</v>
      </c>
      <c r="K289" s="4" t="n">
        <v>385</v>
      </c>
      <c r="L289" s="8" t="n">
        <v>1</v>
      </c>
      <c r="M289" s="11" t="n">
        <v>86.5</v>
      </c>
      <c r="N289" s="4" t="n">
        <v>2252</v>
      </c>
      <c r="O289" s="8" t="n">
        <v>1</v>
      </c>
      <c r="P289" s="4" t="n">
        <f aca="false">H289+K289+N289</f>
        <v>2804</v>
      </c>
      <c r="Q289" s="4" t="n">
        <f aca="false">Q288+P289</f>
        <v>659037</v>
      </c>
      <c r="R289" s="4" t="n">
        <f aca="false">Q289-MAX(0,MAX($Q$2:Q289))</f>
        <v>0</v>
      </c>
    </row>
    <row r="290" customFormat="false" ht="15" hidden="false" customHeight="false" outlineLevel="0" collapsed="false">
      <c r="A290" s="7" t="n">
        <v>45267</v>
      </c>
      <c r="B290" s="8" t="n">
        <f aca="false">YEAR(A290)</f>
        <v>2023</v>
      </c>
      <c r="C290" s="8" t="n">
        <f aca="false">MONTH(A290)</f>
        <v>12</v>
      </c>
      <c r="D290" s="8" t="s">
        <v>36</v>
      </c>
      <c r="E290" s="9" t="n">
        <v>20932.4</v>
      </c>
      <c r="F290" s="10" t="n">
        <v>13.74</v>
      </c>
      <c r="G290" s="11" t="n">
        <v>113.7</v>
      </c>
      <c r="H290" s="4" t="n">
        <v>2311</v>
      </c>
      <c r="I290" s="8" t="n">
        <v>1</v>
      </c>
      <c r="J290" s="11" t="n">
        <v>113.4</v>
      </c>
      <c r="K290" s="4" t="n">
        <v>1002</v>
      </c>
      <c r="L290" s="8" t="n">
        <v>1</v>
      </c>
      <c r="M290" s="11" t="n">
        <v>107.5</v>
      </c>
      <c r="N290" s="4" t="n">
        <v>1221</v>
      </c>
      <c r="O290" s="8" t="n">
        <v>1</v>
      </c>
      <c r="P290" s="4" t="n">
        <f aca="false">H290+K290+N290</f>
        <v>4534</v>
      </c>
      <c r="Q290" s="4" t="n">
        <f aca="false">Q289+P290</f>
        <v>663571</v>
      </c>
      <c r="R290" s="4" t="n">
        <f aca="false">Q290-MAX(0,MAX($Q$2:Q290))</f>
        <v>0</v>
      </c>
    </row>
    <row r="291" customFormat="false" ht="15" hidden="false" customHeight="false" outlineLevel="0" collapsed="false">
      <c r="A291" s="7" t="n">
        <v>45274</v>
      </c>
      <c r="B291" s="8" t="n">
        <f aca="false">YEAR(A291)</f>
        <v>2023</v>
      </c>
      <c r="C291" s="8" t="n">
        <f aca="false">MONTH(A291)</f>
        <v>12</v>
      </c>
      <c r="D291" s="8" t="s">
        <v>36</v>
      </c>
      <c r="E291" s="9" t="n">
        <v>21110.4</v>
      </c>
      <c r="F291" s="10" t="n">
        <v>12.07</v>
      </c>
      <c r="G291" s="11" t="n">
        <v>95.2</v>
      </c>
      <c r="H291" s="4" t="n">
        <v>1151</v>
      </c>
      <c r="I291" s="8" t="n">
        <v>1</v>
      </c>
      <c r="J291" s="11" t="n">
        <v>92.8</v>
      </c>
      <c r="K291" s="4" t="n">
        <v>1940</v>
      </c>
      <c r="L291" s="8" t="n">
        <v>1</v>
      </c>
      <c r="M291" s="11" t="n">
        <v>91.9</v>
      </c>
      <c r="N291" s="4" t="n">
        <v>1436</v>
      </c>
      <c r="O291" s="8" t="n">
        <v>1</v>
      </c>
      <c r="P291" s="4" t="n">
        <f aca="false">H291+K291+N291</f>
        <v>4527</v>
      </c>
      <c r="Q291" s="4" t="n">
        <f aca="false">Q290+P291</f>
        <v>668098</v>
      </c>
      <c r="R291" s="4" t="n">
        <f aca="false">Q291-MAX(0,MAX($Q$2:Q291))</f>
        <v>0</v>
      </c>
    </row>
    <row r="292" customFormat="false" ht="15" hidden="false" customHeight="false" outlineLevel="0" collapsed="false">
      <c r="A292" s="7" t="n">
        <v>45281</v>
      </c>
      <c r="B292" s="8" t="n">
        <f aca="false">YEAR(A292)</f>
        <v>2023</v>
      </c>
      <c r="C292" s="8" t="n">
        <f aca="false">MONTH(A292)</f>
        <v>12</v>
      </c>
      <c r="D292" s="8" t="s">
        <v>36</v>
      </c>
      <c r="E292" s="9" t="n">
        <v>21034</v>
      </c>
      <c r="F292" s="10" t="n">
        <v>14.45</v>
      </c>
      <c r="G292" s="11" t="n">
        <v>108.3</v>
      </c>
      <c r="H292" s="4" t="n">
        <v>-2442</v>
      </c>
      <c r="I292" s="8" t="n">
        <v>2</v>
      </c>
      <c r="J292" s="11" t="n">
        <v>105.9</v>
      </c>
      <c r="K292" s="4" t="n">
        <v>1684</v>
      </c>
      <c r="L292" s="8" t="n">
        <v>1</v>
      </c>
      <c r="M292" s="11" t="n">
        <v>102.6</v>
      </c>
      <c r="N292" s="4" t="n">
        <v>2867</v>
      </c>
      <c r="O292" s="8" t="n">
        <v>1</v>
      </c>
      <c r="P292" s="4" t="n">
        <f aca="false">H292+K292+N292</f>
        <v>2109</v>
      </c>
      <c r="Q292" s="4" t="n">
        <f aca="false">Q291+P292</f>
        <v>670207</v>
      </c>
      <c r="R292" s="4" t="n">
        <f aca="false">Q292-MAX(0,MAX($Q$2:Q292))</f>
        <v>0</v>
      </c>
    </row>
    <row r="293" customFormat="false" ht="15" hidden="false" customHeight="false" outlineLevel="0" collapsed="false">
      <c r="A293" s="7" t="n">
        <v>45288</v>
      </c>
      <c r="B293" s="8" t="n">
        <f aca="false">YEAR(A293)</f>
        <v>2023</v>
      </c>
      <c r="C293" s="8" t="n">
        <f aca="false">MONTH(A293)</f>
        <v>12</v>
      </c>
      <c r="D293" s="8" t="s">
        <v>36</v>
      </c>
      <c r="E293" s="9" t="n">
        <v>21715</v>
      </c>
      <c r="F293" s="10" t="n">
        <v>15.56</v>
      </c>
      <c r="G293" s="11" t="n">
        <v>106.3</v>
      </c>
      <c r="H293" s="4" t="n">
        <v>-252</v>
      </c>
      <c r="I293" s="8" t="n">
        <v>1</v>
      </c>
      <c r="J293" s="11" t="n">
        <v>104.7</v>
      </c>
      <c r="K293" s="4" t="n">
        <v>-516</v>
      </c>
      <c r="L293" s="8" t="n">
        <v>1</v>
      </c>
      <c r="M293" s="11" t="n">
        <v>99.7</v>
      </c>
      <c r="N293" s="4" t="n">
        <v>1752</v>
      </c>
      <c r="O293" s="8" t="n">
        <v>1</v>
      </c>
      <c r="P293" s="4" t="n">
        <f aca="false">H293+K293+N293</f>
        <v>984</v>
      </c>
      <c r="Q293" s="4" t="n">
        <f aca="false">Q292+P293</f>
        <v>671191</v>
      </c>
      <c r="R293" s="4" t="n">
        <f aca="false">Q293-MAX(0,MAX($Q$2:Q293))</f>
        <v>0</v>
      </c>
    </row>
    <row r="294" customFormat="false" ht="15" hidden="false" customHeight="false" outlineLevel="0" collapsed="false">
      <c r="A294" s="7" t="n">
        <v>45295</v>
      </c>
      <c r="B294" s="8" t="n">
        <f aca="false">YEAR(A294)</f>
        <v>2024</v>
      </c>
      <c r="C294" s="8" t="n">
        <f aca="false">MONTH(A294)</f>
        <v>1</v>
      </c>
      <c r="D294" s="8" t="s">
        <v>36</v>
      </c>
      <c r="E294" s="9" t="n">
        <v>21605.8</v>
      </c>
      <c r="F294" s="10" t="n">
        <v>14.1</v>
      </c>
      <c r="G294" s="11" t="n">
        <v>103.1</v>
      </c>
      <c r="H294" s="4" t="n">
        <v>1572</v>
      </c>
      <c r="I294" s="8" t="n">
        <v>1</v>
      </c>
      <c r="J294" s="11" t="n">
        <v>100.9</v>
      </c>
      <c r="K294" s="4" t="n">
        <v>1805</v>
      </c>
      <c r="L294" s="8" t="n">
        <v>1</v>
      </c>
      <c r="M294" s="11" t="n">
        <v>98.4</v>
      </c>
      <c r="N294" s="4" t="n">
        <v>915</v>
      </c>
      <c r="O294" s="8" t="n">
        <v>1</v>
      </c>
      <c r="P294" s="4" t="n">
        <f aca="false">H294+K294+N294</f>
        <v>4292</v>
      </c>
      <c r="Q294" s="4" t="n">
        <f aca="false">Q293+P294</f>
        <v>675483</v>
      </c>
      <c r="R294" s="4" t="n">
        <f aca="false">Q294-MAX(0,MAX($Q$2:Q294))</f>
        <v>0</v>
      </c>
    </row>
    <row r="295" customFormat="false" ht="15" hidden="false" customHeight="false" outlineLevel="0" collapsed="false">
      <c r="A295" s="7" t="n">
        <v>45302</v>
      </c>
      <c r="B295" s="8" t="n">
        <f aca="false">YEAR(A295)</f>
        <v>2024</v>
      </c>
      <c r="C295" s="8" t="n">
        <f aca="false">MONTH(A295)</f>
        <v>1</v>
      </c>
      <c r="D295" s="8" t="s">
        <v>36</v>
      </c>
      <c r="E295" s="9" t="n">
        <v>21688</v>
      </c>
      <c r="F295" s="10" t="n">
        <v>12.97</v>
      </c>
      <c r="G295" s="11" t="n">
        <v>94.2</v>
      </c>
      <c r="H295" s="4" t="n">
        <v>2212</v>
      </c>
      <c r="I295" s="8" t="n">
        <v>1</v>
      </c>
      <c r="J295" s="11" t="n">
        <v>92.3</v>
      </c>
      <c r="K295" s="4" t="n">
        <v>1938</v>
      </c>
      <c r="L295" s="8" t="n">
        <v>1</v>
      </c>
      <c r="M295" s="11" t="n">
        <v>89.5</v>
      </c>
      <c r="N295" s="4" t="n">
        <v>2074</v>
      </c>
      <c r="O295" s="8" t="n">
        <v>1</v>
      </c>
      <c r="P295" s="4" t="n">
        <f aca="false">H295+K295+N295</f>
        <v>6224</v>
      </c>
      <c r="Q295" s="4" t="n">
        <f aca="false">Q294+P295</f>
        <v>681707</v>
      </c>
      <c r="R295" s="4" t="n">
        <f aca="false">Q295-MAX(0,MAX($Q$2:Q295))</f>
        <v>0</v>
      </c>
    </row>
    <row r="296" customFormat="false" ht="15" hidden="false" customHeight="false" outlineLevel="0" collapsed="false">
      <c r="A296" s="7" t="n">
        <v>45309</v>
      </c>
      <c r="B296" s="8" t="n">
        <f aca="false">YEAR(A296)</f>
        <v>2024</v>
      </c>
      <c r="C296" s="8" t="n">
        <f aca="false">MONTH(A296)</f>
        <v>1</v>
      </c>
      <c r="D296" s="8" t="s">
        <v>36</v>
      </c>
      <c r="E296" s="9" t="n">
        <v>21414.2</v>
      </c>
      <c r="F296" s="10" t="n">
        <v>15.08</v>
      </c>
      <c r="G296" s="11" t="n">
        <v>155.5</v>
      </c>
      <c r="H296" s="4" t="n">
        <v>-3407</v>
      </c>
      <c r="I296" s="8" t="n">
        <v>2</v>
      </c>
      <c r="J296" s="11" t="n">
        <v>153.8</v>
      </c>
      <c r="K296" s="4" t="n">
        <v>-3373</v>
      </c>
      <c r="L296" s="8" t="n">
        <v>2</v>
      </c>
      <c r="M296" s="11" t="n">
        <v>146.9</v>
      </c>
      <c r="N296" s="4" t="n">
        <v>1777</v>
      </c>
      <c r="O296" s="8" t="n">
        <v>1</v>
      </c>
      <c r="P296" s="4" t="n">
        <f aca="false">H296+K296+N296</f>
        <v>-5003</v>
      </c>
      <c r="Q296" s="4" t="n">
        <f aca="false">Q295+P296</f>
        <v>676704</v>
      </c>
      <c r="R296" s="4" t="n">
        <f aca="false">Q296-MAX(0,MAX($Q$2:Q296))</f>
        <v>-5003</v>
      </c>
    </row>
    <row r="297" customFormat="false" ht="15" hidden="false" customHeight="false" outlineLevel="0" collapsed="false">
      <c r="A297" s="7" t="n">
        <v>45316</v>
      </c>
      <c r="B297" s="8" t="n">
        <f aca="false">YEAR(A297)</f>
        <v>2024</v>
      </c>
      <c r="C297" s="8" t="n">
        <f aca="false">MONTH(A297)</f>
        <v>1</v>
      </c>
      <c r="D297" s="8" t="s">
        <v>36</v>
      </c>
      <c r="E297" s="9" t="n">
        <v>21454.6</v>
      </c>
      <c r="F297" s="10" t="n">
        <v>14.38</v>
      </c>
      <c r="G297" s="11" t="n">
        <v>162.6</v>
      </c>
      <c r="H297" s="4" t="n">
        <v>4214</v>
      </c>
      <c r="I297" s="8" t="n">
        <v>1</v>
      </c>
      <c r="J297" s="11" t="n">
        <v>158.7</v>
      </c>
      <c r="K297" s="4" t="n">
        <v>3069</v>
      </c>
      <c r="L297" s="8" t="n">
        <v>1</v>
      </c>
      <c r="M297" s="11" t="n">
        <v>152.6</v>
      </c>
      <c r="N297" s="4" t="n">
        <v>2209</v>
      </c>
      <c r="O297" s="8" t="n">
        <v>1</v>
      </c>
      <c r="P297" s="4" t="n">
        <f aca="false">H297+K297+N297</f>
        <v>9492</v>
      </c>
      <c r="Q297" s="4" t="n">
        <f aca="false">Q296+P297</f>
        <v>686196</v>
      </c>
      <c r="R297" s="4" t="n">
        <f aca="false">Q297-MAX(0,MAX($Q$2:Q297))</f>
        <v>0</v>
      </c>
    </row>
    <row r="298" customFormat="false" ht="15" hidden="false" customHeight="false" outlineLevel="0" collapsed="false">
      <c r="A298" s="7" t="n">
        <v>45323</v>
      </c>
      <c r="B298" s="8" t="n">
        <f aca="false">YEAR(A298)</f>
        <v>2024</v>
      </c>
      <c r="C298" s="8" t="n">
        <f aca="false">MONTH(A298)</f>
        <v>2</v>
      </c>
      <c r="D298" s="8" t="s">
        <v>36</v>
      </c>
      <c r="E298" s="9" t="n">
        <v>21780.6</v>
      </c>
      <c r="F298" s="10" t="n">
        <v>16.05</v>
      </c>
      <c r="G298" s="11" t="n">
        <v>262.9</v>
      </c>
      <c r="H298" s="4" t="n">
        <v>11715</v>
      </c>
      <c r="I298" s="8" t="n">
        <v>0</v>
      </c>
      <c r="J298" s="11" t="n">
        <v>258.3</v>
      </c>
      <c r="K298" s="4" t="n">
        <v>11413</v>
      </c>
      <c r="L298" s="8" t="n">
        <v>0</v>
      </c>
      <c r="M298" s="11" t="n">
        <v>247.1</v>
      </c>
      <c r="N298" s="4" t="n">
        <v>545</v>
      </c>
      <c r="O298" s="8" t="n">
        <v>1</v>
      </c>
      <c r="P298" s="4" t="n">
        <f aca="false">H298+K298+N298</f>
        <v>23673</v>
      </c>
      <c r="Q298" s="4" t="n">
        <f aca="false">Q297+P298</f>
        <v>709869</v>
      </c>
      <c r="R298" s="4" t="n">
        <f aca="false">Q298-MAX(0,MAX($Q$2:Q298))</f>
        <v>0</v>
      </c>
    </row>
    <row r="299" customFormat="false" ht="15" hidden="false" customHeight="false" outlineLevel="0" collapsed="false">
      <c r="A299" s="7" t="n">
        <v>45330</v>
      </c>
      <c r="B299" s="8" t="n">
        <f aca="false">YEAR(A299)</f>
        <v>2024</v>
      </c>
      <c r="C299" s="8" t="n">
        <f aca="false">MONTH(A299)</f>
        <v>2</v>
      </c>
      <c r="D299" s="8" t="s">
        <v>36</v>
      </c>
      <c r="E299" s="9" t="n">
        <v>22009.6</v>
      </c>
      <c r="F299" s="10" t="n">
        <v>15.51</v>
      </c>
      <c r="G299" s="11" t="n">
        <v>131.9</v>
      </c>
      <c r="H299" s="4" t="n">
        <v>3191</v>
      </c>
      <c r="I299" s="8" t="n">
        <v>1</v>
      </c>
      <c r="J299" s="11" t="n">
        <v>129.3</v>
      </c>
      <c r="K299" s="4" t="n">
        <v>2389</v>
      </c>
      <c r="L299" s="8" t="n">
        <v>1</v>
      </c>
      <c r="M299" s="11" t="n">
        <v>123.6</v>
      </c>
      <c r="N299" s="4" t="n">
        <v>2504</v>
      </c>
      <c r="O299" s="8" t="n">
        <v>1</v>
      </c>
      <c r="P299" s="4" t="n">
        <f aca="false">H299+K299+N299</f>
        <v>8084</v>
      </c>
      <c r="Q299" s="4" t="n">
        <f aca="false">Q298+P299</f>
        <v>717953</v>
      </c>
      <c r="R299" s="4" t="n">
        <f aca="false">Q299-MAX(0,MAX($Q$2:Q299))</f>
        <v>0</v>
      </c>
    </row>
    <row r="300" customFormat="false" ht="15" hidden="false" customHeight="false" outlineLevel="0" collapsed="false">
      <c r="A300" s="7" t="n">
        <v>45337</v>
      </c>
      <c r="B300" s="8" t="n">
        <f aca="false">YEAR(A300)</f>
        <v>2024</v>
      </c>
      <c r="C300" s="8" t="n">
        <f aca="false">MONTH(A300)</f>
        <v>2</v>
      </c>
      <c r="D300" s="8" t="s">
        <v>36</v>
      </c>
      <c r="E300" s="9" t="n">
        <v>21906.6</v>
      </c>
      <c r="F300" s="10" t="n">
        <v>15.44</v>
      </c>
      <c r="G300" s="11" t="n">
        <v>134.2</v>
      </c>
      <c r="H300" s="4" t="n">
        <v>864</v>
      </c>
      <c r="I300" s="8" t="n">
        <v>1</v>
      </c>
      <c r="J300" s="11" t="n">
        <v>131.1</v>
      </c>
      <c r="K300" s="4" t="n">
        <v>-2909</v>
      </c>
      <c r="L300" s="8" t="n">
        <v>2</v>
      </c>
      <c r="M300" s="11" t="n">
        <v>126.1</v>
      </c>
      <c r="N300" s="4" t="n">
        <v>3231</v>
      </c>
      <c r="O300" s="8" t="n">
        <v>1</v>
      </c>
      <c r="P300" s="4" t="n">
        <f aca="false">H300+K300+N300</f>
        <v>1186</v>
      </c>
      <c r="Q300" s="4" t="n">
        <f aca="false">Q299+P300</f>
        <v>719139</v>
      </c>
      <c r="R300" s="4" t="n">
        <f aca="false">Q300-MAX(0,MAX($Q$2:Q300))</f>
        <v>0</v>
      </c>
    </row>
    <row r="301" customFormat="false" ht="15" hidden="false" customHeight="false" outlineLevel="0" collapsed="false">
      <c r="A301" s="7" t="n">
        <v>45344</v>
      </c>
      <c r="B301" s="8" t="n">
        <f aca="false">YEAR(A301)</f>
        <v>2024</v>
      </c>
      <c r="C301" s="8" t="n">
        <f aca="false">MONTH(A301)</f>
        <v>2</v>
      </c>
      <c r="D301" s="8" t="s">
        <v>36</v>
      </c>
      <c r="E301" s="9" t="n">
        <v>22081.6</v>
      </c>
      <c r="F301" s="10" t="n">
        <v>15.93</v>
      </c>
      <c r="G301" s="11" t="n">
        <v>174.9</v>
      </c>
      <c r="H301" s="4" t="n">
        <v>-3805</v>
      </c>
      <c r="I301" s="8" t="n">
        <v>2</v>
      </c>
      <c r="J301" s="11" t="n">
        <v>172.1</v>
      </c>
      <c r="K301" s="4" t="n">
        <v>-3747</v>
      </c>
      <c r="L301" s="8" t="n">
        <v>2</v>
      </c>
      <c r="M301" s="11" t="n">
        <v>164</v>
      </c>
      <c r="N301" s="4" t="n">
        <v>4180</v>
      </c>
      <c r="O301" s="8" t="n">
        <v>1</v>
      </c>
      <c r="P301" s="4" t="n">
        <f aca="false">H301+K301+N301</f>
        <v>-3372</v>
      </c>
      <c r="Q301" s="4" t="n">
        <f aca="false">Q300+P301</f>
        <v>715767</v>
      </c>
      <c r="R301" s="4" t="n">
        <f aca="false">Q301-MAX(0,MAX($Q$2:Q301))</f>
        <v>-3372</v>
      </c>
    </row>
    <row r="302" customFormat="false" ht="15" hidden="false" customHeight="false" outlineLevel="0" collapsed="false">
      <c r="A302" s="7" t="n">
        <v>45351</v>
      </c>
      <c r="B302" s="8" t="n">
        <f aca="false">YEAR(A302)</f>
        <v>2024</v>
      </c>
      <c r="C302" s="8" t="n">
        <f aca="false">MONTH(A302)</f>
        <v>2</v>
      </c>
      <c r="D302" s="8" t="s">
        <v>36</v>
      </c>
      <c r="E302" s="9" t="n">
        <v>21935.2</v>
      </c>
      <c r="F302" s="10" t="n">
        <v>16.33</v>
      </c>
      <c r="G302" s="11" t="n">
        <v>158.5</v>
      </c>
      <c r="H302" s="4" t="n">
        <v>2690</v>
      </c>
      <c r="I302" s="8" t="n">
        <v>1</v>
      </c>
      <c r="J302" s="11" t="n">
        <v>156.1</v>
      </c>
      <c r="K302" s="4" t="n">
        <v>1909</v>
      </c>
      <c r="L302" s="8" t="n">
        <v>1</v>
      </c>
      <c r="M302" s="11" t="n">
        <v>149.2</v>
      </c>
      <c r="N302" s="4" t="n">
        <v>2313</v>
      </c>
      <c r="O302" s="8" t="n">
        <v>1</v>
      </c>
      <c r="P302" s="4" t="n">
        <f aca="false">H302+K302+N302</f>
        <v>6912</v>
      </c>
      <c r="Q302" s="4" t="n">
        <f aca="false">Q301+P302</f>
        <v>722679</v>
      </c>
      <c r="R302" s="4" t="n">
        <f aca="false">Q302-MAX(0,MAX($Q$2:Q302))</f>
        <v>0</v>
      </c>
    </row>
    <row r="303" customFormat="false" ht="15" hidden="false" customHeight="false" outlineLevel="0" collapsed="false">
      <c r="A303" s="7" t="n">
        <v>45358</v>
      </c>
      <c r="B303" s="8" t="n">
        <f aca="false">YEAR(A303)</f>
        <v>2024</v>
      </c>
      <c r="C303" s="8" t="n">
        <f aca="false">MONTH(A303)</f>
        <v>3</v>
      </c>
      <c r="D303" s="8" t="s">
        <v>36</v>
      </c>
      <c r="E303" s="9" t="n">
        <v>22505.3</v>
      </c>
      <c r="F303" s="10" t="n">
        <v>14.3</v>
      </c>
      <c r="G303" s="11" t="n">
        <v>117.8</v>
      </c>
      <c r="H303" s="4" t="n">
        <v>1143</v>
      </c>
      <c r="I303" s="8" t="n">
        <v>1</v>
      </c>
      <c r="J303" s="11" t="n">
        <v>115.7</v>
      </c>
      <c r="K303" s="4" t="n">
        <v>1103</v>
      </c>
      <c r="L303" s="8" t="n">
        <v>1</v>
      </c>
      <c r="M303" s="11" t="n">
        <v>110.5</v>
      </c>
      <c r="N303" s="4" t="n">
        <v>1228</v>
      </c>
      <c r="O303" s="8" t="n">
        <v>1</v>
      </c>
      <c r="P303" s="4" t="n">
        <f aca="false">H303+K303+N303</f>
        <v>3474</v>
      </c>
      <c r="Q303" s="4" t="n">
        <f aca="false">Q302+P303</f>
        <v>726153</v>
      </c>
      <c r="R303" s="4" t="n">
        <f aca="false">Q303-MAX(0,MAX($Q$2:Q303))</f>
        <v>0</v>
      </c>
    </row>
    <row r="304" customFormat="false" ht="15" hidden="false" customHeight="false" outlineLevel="0" collapsed="false">
      <c r="A304" s="7" t="n">
        <v>45365</v>
      </c>
      <c r="B304" s="8" t="n">
        <f aca="false">YEAR(A304)</f>
        <v>2024</v>
      </c>
      <c r="C304" s="8" t="n">
        <f aca="false">MONTH(A304)</f>
        <v>3</v>
      </c>
      <c r="D304" s="8" t="s">
        <v>36</v>
      </c>
      <c r="E304" s="9" t="n">
        <v>21982.6</v>
      </c>
      <c r="F304" s="10" t="n">
        <v>14.43</v>
      </c>
      <c r="G304" s="11" t="n">
        <v>153</v>
      </c>
      <c r="H304" s="4" t="n">
        <v>3021</v>
      </c>
      <c r="I304" s="8" t="n">
        <v>1</v>
      </c>
      <c r="J304" s="11" t="n">
        <v>152.5</v>
      </c>
      <c r="K304" s="4" t="n">
        <v>-3347</v>
      </c>
      <c r="L304" s="8" t="n">
        <v>2</v>
      </c>
      <c r="M304" s="11" t="n">
        <v>144.4</v>
      </c>
      <c r="N304" s="4" t="n">
        <v>-3181</v>
      </c>
      <c r="O304" s="8" t="n">
        <v>2</v>
      </c>
      <c r="P304" s="4" t="n">
        <f aca="false">H304+K304+N304</f>
        <v>-3507</v>
      </c>
      <c r="Q304" s="4" t="n">
        <f aca="false">Q303+P304</f>
        <v>722646</v>
      </c>
      <c r="R304" s="4" t="n">
        <f aca="false">Q304-MAX(0,MAX($Q$2:Q304))</f>
        <v>-3507</v>
      </c>
    </row>
    <row r="305" customFormat="false" ht="15" hidden="false" customHeight="false" outlineLevel="0" collapsed="false">
      <c r="A305" s="7" t="n">
        <v>45372</v>
      </c>
      <c r="B305" s="8" t="n">
        <f aca="false">YEAR(A305)</f>
        <v>2024</v>
      </c>
      <c r="C305" s="8" t="n">
        <f aca="false">MONTH(A305)</f>
        <v>3</v>
      </c>
      <c r="D305" s="8" t="s">
        <v>36</v>
      </c>
      <c r="E305" s="9" t="n">
        <v>21989.9</v>
      </c>
      <c r="F305" s="10" t="n">
        <v>13.47</v>
      </c>
      <c r="G305" s="11" t="n">
        <v>133.5</v>
      </c>
      <c r="H305" s="4" t="n">
        <v>-2956</v>
      </c>
      <c r="I305" s="8" t="n">
        <v>2</v>
      </c>
      <c r="J305" s="11" t="n">
        <v>131</v>
      </c>
      <c r="K305" s="4" t="n">
        <v>2880</v>
      </c>
      <c r="L305" s="8" t="n">
        <v>1</v>
      </c>
      <c r="M305" s="11" t="n">
        <v>125.7</v>
      </c>
      <c r="N305" s="4" t="n">
        <v>-2797</v>
      </c>
      <c r="O305" s="8" t="n">
        <v>2</v>
      </c>
      <c r="P305" s="4" t="n">
        <f aca="false">H305+K305+N305</f>
        <v>-2873</v>
      </c>
      <c r="Q305" s="4" t="n">
        <f aca="false">Q304+P305</f>
        <v>719773</v>
      </c>
      <c r="R305" s="4" t="n">
        <f aca="false">Q305-MAX(0,MAX($Q$2:Q305))</f>
        <v>-6380</v>
      </c>
    </row>
    <row r="306" customFormat="false" ht="15" hidden="false" customHeight="false" outlineLevel="0" collapsed="false">
      <c r="A306" s="7" t="n">
        <v>45379</v>
      </c>
      <c r="B306" s="8" t="n">
        <f aca="false">YEAR(A306)</f>
        <v>2024</v>
      </c>
      <c r="C306" s="8" t="n">
        <f aca="false">MONTH(A306)</f>
        <v>3</v>
      </c>
      <c r="D306" s="8" t="s">
        <v>36</v>
      </c>
      <c r="E306" s="9" t="n">
        <v>22163.6</v>
      </c>
      <c r="F306" s="10" t="n">
        <v>12.7</v>
      </c>
      <c r="G306" s="11" t="n">
        <v>111.1</v>
      </c>
      <c r="H306" s="4" t="n">
        <v>1925</v>
      </c>
      <c r="I306" s="8" t="n">
        <v>1</v>
      </c>
      <c r="J306" s="11" t="n">
        <v>111.5</v>
      </c>
      <c r="K306" s="4" t="n">
        <v>1003</v>
      </c>
      <c r="L306" s="8" t="n">
        <v>1</v>
      </c>
      <c r="M306" s="11" t="n">
        <v>104.9</v>
      </c>
      <c r="N306" s="4" t="n">
        <v>-319</v>
      </c>
      <c r="O306" s="8" t="n">
        <v>1</v>
      </c>
      <c r="P306" s="4" t="n">
        <f aca="false">H306+K306+N306</f>
        <v>2609</v>
      </c>
      <c r="Q306" s="4" t="n">
        <f aca="false">Q305+P306</f>
        <v>722382</v>
      </c>
      <c r="R306" s="4" t="n">
        <f aca="false">Q306-MAX(0,MAX($Q$2:Q306))</f>
        <v>-3771</v>
      </c>
    </row>
    <row r="307" customFormat="false" ht="15" hidden="false" customHeight="false" outlineLevel="0" collapsed="false">
      <c r="A307" s="7" t="n">
        <v>45386</v>
      </c>
      <c r="B307" s="8" t="n">
        <f aca="false">YEAR(A307)</f>
        <v>2024</v>
      </c>
      <c r="C307" s="8" t="n">
        <f aca="false">MONTH(A307)</f>
        <v>4</v>
      </c>
      <c r="D307" s="8" t="s">
        <v>36</v>
      </c>
      <c r="E307" s="9" t="n">
        <v>22592.1</v>
      </c>
      <c r="F307" s="10" t="n">
        <v>11.37</v>
      </c>
      <c r="G307" s="11" t="n">
        <v>126.6</v>
      </c>
      <c r="H307" s="4" t="n">
        <v>2387</v>
      </c>
      <c r="I307" s="8" t="n">
        <v>1</v>
      </c>
      <c r="J307" s="11" t="n">
        <v>124.2</v>
      </c>
      <c r="K307" s="4" t="n">
        <v>-2767</v>
      </c>
      <c r="L307" s="8" t="n">
        <v>2</v>
      </c>
      <c r="M307" s="11" t="n">
        <v>120.5</v>
      </c>
      <c r="N307" s="4" t="n">
        <v>-2690</v>
      </c>
      <c r="O307" s="8" t="n">
        <v>2</v>
      </c>
      <c r="P307" s="4" t="n">
        <f aca="false">H307+K307+N307</f>
        <v>-3070</v>
      </c>
      <c r="Q307" s="4" t="n">
        <f aca="false">Q306+P307</f>
        <v>719312</v>
      </c>
      <c r="R307" s="4" t="n">
        <f aca="false">Q307-MAX(0,MAX($Q$2:Q307))</f>
        <v>-6841</v>
      </c>
    </row>
    <row r="308" customFormat="false" ht="15" hidden="false" customHeight="false" outlineLevel="0" collapsed="false">
      <c r="A308" s="7" t="n">
        <v>45392</v>
      </c>
      <c r="B308" s="8" t="n">
        <f aca="false">YEAR(A308)</f>
        <v>2024</v>
      </c>
      <c r="C308" s="8" t="n">
        <f aca="false">MONTH(A308)</f>
        <v>4</v>
      </c>
      <c r="D308" s="8" t="s">
        <v>37</v>
      </c>
      <c r="E308" s="9" t="n">
        <v>22720.2</v>
      </c>
      <c r="F308" s="10" t="n">
        <v>11.36</v>
      </c>
      <c r="G308" s="11" t="n">
        <v>96.8</v>
      </c>
      <c r="H308" s="4" t="n">
        <v>1847</v>
      </c>
      <c r="I308" s="8" t="n">
        <v>1</v>
      </c>
      <c r="J308" s="11" t="n">
        <v>96.9</v>
      </c>
      <c r="K308" s="4" t="n">
        <v>-610</v>
      </c>
      <c r="L308" s="8" t="n">
        <v>1</v>
      </c>
      <c r="M308" s="11" t="n">
        <v>91.4</v>
      </c>
      <c r="N308" s="4" t="n">
        <v>2296</v>
      </c>
      <c r="O308" s="8" t="n">
        <v>1</v>
      </c>
      <c r="P308" s="4" t="n">
        <f aca="false">H308+K308+N308</f>
        <v>3533</v>
      </c>
      <c r="Q308" s="4" t="n">
        <f aca="false">Q307+P308</f>
        <v>722845</v>
      </c>
      <c r="R308" s="4" t="n">
        <f aca="false">Q308-MAX(0,MAX($Q$2:Q308))</f>
        <v>-3308</v>
      </c>
    </row>
    <row r="309" customFormat="false" ht="15" hidden="false" customHeight="false" outlineLevel="0" collapsed="false">
      <c r="A309" s="7" t="n">
        <v>45400</v>
      </c>
      <c r="B309" s="8" t="n">
        <f aca="false">YEAR(A309)</f>
        <v>2024</v>
      </c>
      <c r="C309" s="8" t="n">
        <f aca="false">MONTH(A309)</f>
        <v>4</v>
      </c>
      <c r="D309" s="8" t="s">
        <v>36</v>
      </c>
      <c r="E309" s="9" t="n">
        <v>22212.4</v>
      </c>
      <c r="F309" s="10" t="n">
        <v>12.62</v>
      </c>
      <c r="G309" s="11" t="n">
        <v>118.7</v>
      </c>
      <c r="H309" s="4" t="n">
        <v>-2654</v>
      </c>
      <c r="I309" s="8" t="n">
        <v>2</v>
      </c>
      <c r="J309" s="11" t="n">
        <v>116.7</v>
      </c>
      <c r="K309" s="4" t="n">
        <v>-2613</v>
      </c>
      <c r="L309" s="8" t="n">
        <v>2</v>
      </c>
      <c r="M309" s="11" t="n">
        <v>112.1</v>
      </c>
      <c r="N309" s="4" t="n">
        <v>-2519</v>
      </c>
      <c r="O309" s="8" t="n">
        <v>2</v>
      </c>
      <c r="P309" s="4" t="n">
        <f aca="false">H309+K309+N309</f>
        <v>-7786</v>
      </c>
      <c r="Q309" s="4" t="n">
        <f aca="false">Q308+P309</f>
        <v>715059</v>
      </c>
      <c r="R309" s="4" t="n">
        <f aca="false">Q309-MAX(0,MAX($Q$2:Q309))</f>
        <v>-11094</v>
      </c>
    </row>
    <row r="310" customFormat="false" ht="15" hidden="false" customHeight="false" outlineLevel="0" collapsed="false">
      <c r="A310" s="7" t="n">
        <v>45407</v>
      </c>
      <c r="B310" s="8" t="n">
        <f aca="false">YEAR(A310)</f>
        <v>2024</v>
      </c>
      <c r="C310" s="8" t="n">
        <f aca="false">MONTH(A310)</f>
        <v>4</v>
      </c>
      <c r="D310" s="8" t="s">
        <v>36</v>
      </c>
      <c r="E310" s="9" t="n">
        <v>22316.9</v>
      </c>
      <c r="F310" s="10" t="n">
        <v>10.28</v>
      </c>
      <c r="G310" s="11" t="n">
        <v>121.1</v>
      </c>
      <c r="H310" s="4" t="n">
        <v>3184</v>
      </c>
      <c r="I310" s="8" t="n">
        <v>1</v>
      </c>
      <c r="J310" s="11" t="n">
        <v>119.2</v>
      </c>
      <c r="K310" s="4" t="n">
        <v>1670</v>
      </c>
      <c r="L310" s="8" t="n">
        <v>1</v>
      </c>
      <c r="M310" s="11" t="n">
        <v>114.1</v>
      </c>
      <c r="N310" s="4" t="n">
        <v>-2559</v>
      </c>
      <c r="O310" s="8" t="n">
        <v>2</v>
      </c>
      <c r="P310" s="4" t="n">
        <f aca="false">H310+K310+N310</f>
        <v>2295</v>
      </c>
      <c r="Q310" s="4" t="n">
        <f aca="false">Q309+P310</f>
        <v>717354</v>
      </c>
      <c r="R310" s="4" t="n">
        <f aca="false">Q310-MAX(0,MAX($Q$2:Q310))</f>
        <v>-8799</v>
      </c>
    </row>
    <row r="311" customFormat="false" ht="15" hidden="false" customHeight="false" outlineLevel="0" collapsed="false">
      <c r="A311" s="7" t="n">
        <v>45414</v>
      </c>
      <c r="B311" s="8" t="n">
        <f aca="false">YEAR(A311)</f>
        <v>2024</v>
      </c>
      <c r="C311" s="8" t="n">
        <f aca="false">MONTH(A311)</f>
        <v>5</v>
      </c>
      <c r="D311" s="8" t="s">
        <v>36</v>
      </c>
      <c r="E311" s="9" t="n">
        <v>22567.8</v>
      </c>
      <c r="F311" s="10" t="n">
        <v>12.87</v>
      </c>
      <c r="G311" s="11" t="n">
        <v>186.3</v>
      </c>
      <c r="H311" s="4" t="n">
        <v>9367</v>
      </c>
      <c r="I311" s="8" t="n">
        <v>0</v>
      </c>
      <c r="J311" s="11" t="n">
        <v>182.9</v>
      </c>
      <c r="K311" s="4" t="n">
        <v>9145</v>
      </c>
      <c r="L311" s="8" t="n">
        <v>0</v>
      </c>
      <c r="M311" s="11" t="n">
        <v>175.2</v>
      </c>
      <c r="N311" s="4" t="n">
        <v>8645</v>
      </c>
      <c r="O311" s="8" t="n">
        <v>0</v>
      </c>
      <c r="P311" s="4" t="n">
        <f aca="false">H311+K311+N311</f>
        <v>27157</v>
      </c>
      <c r="Q311" s="4" t="n">
        <f aca="false">Q310+P311</f>
        <v>744511</v>
      </c>
      <c r="R311" s="4" t="n">
        <f aca="false">Q311-MAX(0,MAX($Q$2:Q311))</f>
        <v>0</v>
      </c>
    </row>
    <row r="312" customFormat="false" ht="15" hidden="false" customHeight="false" outlineLevel="0" collapsed="false">
      <c r="A312" s="7" t="n">
        <v>45421</v>
      </c>
      <c r="B312" s="8" t="n">
        <f aca="false">YEAR(A312)</f>
        <v>2024</v>
      </c>
      <c r="C312" s="8" t="n">
        <f aca="false">MONTH(A312)</f>
        <v>5</v>
      </c>
      <c r="D312" s="8" t="s">
        <v>36</v>
      </c>
      <c r="E312" s="9" t="n">
        <v>22224.8</v>
      </c>
      <c r="F312" s="10" t="n">
        <v>17.08</v>
      </c>
      <c r="G312" s="11" t="n">
        <v>147.5</v>
      </c>
      <c r="H312" s="4" t="n">
        <v>2377</v>
      </c>
      <c r="I312" s="8" t="n">
        <v>1</v>
      </c>
      <c r="J312" s="11" t="n">
        <v>144.4</v>
      </c>
      <c r="K312" s="4" t="n">
        <v>3469</v>
      </c>
      <c r="L312" s="8" t="n">
        <v>1</v>
      </c>
      <c r="M312" s="11" t="n">
        <v>139.4</v>
      </c>
      <c r="N312" s="4" t="n">
        <v>4055</v>
      </c>
      <c r="O312" s="8" t="n">
        <v>1</v>
      </c>
      <c r="P312" s="4" t="n">
        <f aca="false">H312+K312+N312</f>
        <v>9901</v>
      </c>
      <c r="Q312" s="4" t="n">
        <f aca="false">Q311+P312</f>
        <v>754412</v>
      </c>
      <c r="R312" s="4" t="n">
        <f aca="false">Q312-MAX(0,MAX($Q$2:Q312))</f>
        <v>0</v>
      </c>
    </row>
    <row r="313" customFormat="false" ht="15" hidden="false" customHeight="false" outlineLevel="0" collapsed="false">
      <c r="A313" s="7" t="n">
        <v>45428</v>
      </c>
      <c r="B313" s="8" t="n">
        <f aca="false">YEAR(A313)</f>
        <v>2024</v>
      </c>
      <c r="C313" s="8" t="n">
        <f aca="false">MONTH(A313)</f>
        <v>5</v>
      </c>
      <c r="D313" s="8" t="s">
        <v>36</v>
      </c>
      <c r="E313" s="9" t="n">
        <v>22319.2</v>
      </c>
      <c r="F313" s="10" t="n">
        <v>20.27</v>
      </c>
      <c r="G313" s="11" t="n">
        <v>118.1</v>
      </c>
      <c r="H313" s="4" t="n">
        <v>-2641</v>
      </c>
      <c r="I313" s="8" t="n">
        <v>2</v>
      </c>
      <c r="J313" s="11" t="n">
        <v>115.7</v>
      </c>
      <c r="K313" s="4" t="n">
        <v>-2592</v>
      </c>
      <c r="L313" s="8" t="n">
        <v>2</v>
      </c>
      <c r="M313" s="11" t="n">
        <v>111.6</v>
      </c>
      <c r="N313" s="4" t="n">
        <v>-2509</v>
      </c>
      <c r="O313" s="8" t="n">
        <v>2</v>
      </c>
      <c r="P313" s="4" t="n">
        <f aca="false">H313+K313+N313</f>
        <v>-7742</v>
      </c>
      <c r="Q313" s="4" t="n">
        <f aca="false">Q312+P313</f>
        <v>746670</v>
      </c>
      <c r="R313" s="4" t="n">
        <f aca="false">Q313-MAX(0,MAX($Q$2:Q313))</f>
        <v>-7742</v>
      </c>
    </row>
    <row r="314" customFormat="false" ht="15" hidden="false" customHeight="false" outlineLevel="0" collapsed="false">
      <c r="A314" s="7" t="n">
        <v>45435</v>
      </c>
      <c r="B314" s="8" t="n">
        <f aca="false">YEAR(A314)</f>
        <v>2024</v>
      </c>
      <c r="C314" s="8" t="n">
        <f aca="false">MONTH(A314)</f>
        <v>5</v>
      </c>
      <c r="D314" s="8" t="s">
        <v>36</v>
      </c>
      <c r="E314" s="9" t="n">
        <v>22614.1</v>
      </c>
      <c r="F314" s="10" t="n">
        <v>21.47</v>
      </c>
      <c r="G314" s="11" t="n">
        <v>121.6</v>
      </c>
      <c r="H314" s="4" t="n">
        <v>2542</v>
      </c>
      <c r="I314" s="8" t="n">
        <v>1</v>
      </c>
      <c r="J314" s="11" t="n">
        <v>121.4</v>
      </c>
      <c r="K314" s="4" t="n">
        <v>1318</v>
      </c>
      <c r="L314" s="8" t="n">
        <v>1</v>
      </c>
      <c r="M314" s="11" t="n">
        <v>115.7</v>
      </c>
      <c r="N314" s="4" t="n">
        <v>1491</v>
      </c>
      <c r="O314" s="8" t="n">
        <v>1</v>
      </c>
      <c r="P314" s="4" t="n">
        <f aca="false">H314+K314+N314</f>
        <v>5351</v>
      </c>
      <c r="Q314" s="4" t="n">
        <f aca="false">Q313+P314</f>
        <v>752021</v>
      </c>
      <c r="R314" s="4" t="n">
        <f aca="false">Q314-MAX(0,MAX($Q$2:Q314))</f>
        <v>-2391</v>
      </c>
    </row>
    <row r="315" customFormat="false" ht="15" hidden="false" customHeight="false" outlineLevel="0" collapsed="false">
      <c r="A315" s="7" t="n">
        <v>45442</v>
      </c>
      <c r="B315" s="8" t="n">
        <f aca="false">YEAR(A315)</f>
        <v>2024</v>
      </c>
      <c r="C315" s="8" t="n">
        <f aca="false">MONTH(A315)</f>
        <v>5</v>
      </c>
      <c r="D315" s="8" t="s">
        <v>36</v>
      </c>
      <c r="E315" s="9" t="n">
        <v>22617.4</v>
      </c>
      <c r="F315" s="10" t="n">
        <v>24.18</v>
      </c>
      <c r="G315" s="11" t="n">
        <v>180.5</v>
      </c>
      <c r="H315" s="4" t="n">
        <v>3085</v>
      </c>
      <c r="I315" s="8" t="n">
        <v>1</v>
      </c>
      <c r="J315" s="11" t="n">
        <v>177</v>
      </c>
      <c r="K315" s="4" t="n">
        <v>2907</v>
      </c>
      <c r="L315" s="8" t="n">
        <v>1</v>
      </c>
      <c r="M315" s="11" t="n">
        <v>168.8</v>
      </c>
      <c r="N315" s="4" t="n">
        <v>2881</v>
      </c>
      <c r="O315" s="8" t="n">
        <v>1</v>
      </c>
      <c r="P315" s="4" t="n">
        <f aca="false">H315+K315+N315</f>
        <v>8873</v>
      </c>
      <c r="Q315" s="4" t="n">
        <f aca="false">Q314+P315</f>
        <v>760894</v>
      </c>
      <c r="R315" s="4" t="n">
        <f aca="false">Q315-MAX(0,MAX($Q$2:Q315))</f>
        <v>0</v>
      </c>
    </row>
    <row r="316" customFormat="false" ht="15" hidden="false" customHeight="false" outlineLevel="0" collapsed="false">
      <c r="A316" s="7" t="n">
        <v>45449</v>
      </c>
      <c r="B316" s="8" t="n">
        <f aca="false">YEAR(A316)</f>
        <v>2024</v>
      </c>
      <c r="C316" s="8" t="n">
        <f aca="false">MONTH(A316)</f>
        <v>6</v>
      </c>
      <c r="D316" s="8" t="s">
        <v>36</v>
      </c>
      <c r="E316" s="9" t="n">
        <v>22798.6</v>
      </c>
      <c r="F316" s="10" t="n">
        <v>18.89</v>
      </c>
      <c r="G316" s="11" t="n">
        <v>320.5</v>
      </c>
      <c r="H316" s="4" t="n">
        <v>6672</v>
      </c>
      <c r="I316" s="8" t="n">
        <v>1</v>
      </c>
      <c r="J316" s="11" t="n">
        <v>316.3</v>
      </c>
      <c r="K316" s="4" t="n">
        <v>5196</v>
      </c>
      <c r="L316" s="8" t="n">
        <v>1</v>
      </c>
      <c r="M316" s="11" t="n">
        <v>302.5</v>
      </c>
      <c r="N316" s="4" t="n">
        <v>5375</v>
      </c>
      <c r="O316" s="8" t="n">
        <v>1</v>
      </c>
      <c r="P316" s="4" t="n">
        <f aca="false">H316+K316+N316</f>
        <v>17243</v>
      </c>
      <c r="Q316" s="4" t="n">
        <f aca="false">Q315+P316</f>
        <v>778137</v>
      </c>
      <c r="R316" s="4" t="n">
        <f aca="false">Q316-MAX(0,MAX($Q$2:Q316))</f>
        <v>0</v>
      </c>
    </row>
    <row r="317" customFormat="false" ht="15" hidden="false" customHeight="false" outlineLevel="0" collapsed="false">
      <c r="A317" s="7" t="n">
        <v>45456</v>
      </c>
      <c r="B317" s="8" t="n">
        <f aca="false">YEAR(A317)</f>
        <v>2024</v>
      </c>
      <c r="C317" s="8" t="n">
        <f aca="false">MONTH(A317)</f>
        <v>6</v>
      </c>
      <c r="D317" s="8" t="s">
        <v>36</v>
      </c>
      <c r="E317" s="9" t="n">
        <v>23481</v>
      </c>
      <c r="F317" s="10" t="n">
        <v>14.39</v>
      </c>
      <c r="G317" s="11" t="n">
        <v>175.7</v>
      </c>
      <c r="H317" s="4" t="n">
        <v>3184</v>
      </c>
      <c r="I317" s="8" t="n">
        <v>1</v>
      </c>
      <c r="J317" s="11" t="n">
        <v>173.6</v>
      </c>
      <c r="K317" s="4" t="n">
        <v>3671</v>
      </c>
      <c r="L317" s="8" t="n">
        <v>1</v>
      </c>
      <c r="M317" s="11" t="n">
        <v>164.7</v>
      </c>
      <c r="N317" s="4" t="n">
        <v>8165</v>
      </c>
      <c r="O317" s="8" t="n">
        <v>0</v>
      </c>
      <c r="P317" s="4" t="n">
        <f aca="false">H317+K317+N317</f>
        <v>15020</v>
      </c>
      <c r="Q317" s="4" t="n">
        <f aca="false">Q316+P317</f>
        <v>793157</v>
      </c>
      <c r="R317" s="4" t="n">
        <f aca="false">Q317-MAX(0,MAX($Q$2:Q317))</f>
        <v>0</v>
      </c>
    </row>
    <row r="318" customFormat="false" ht="15" hidden="false" customHeight="false" outlineLevel="0" collapsed="false">
      <c r="A318" s="7" t="n">
        <v>45463</v>
      </c>
      <c r="B318" s="8" t="n">
        <f aca="false">YEAR(A318)</f>
        <v>2024</v>
      </c>
      <c r="C318" s="8" t="n">
        <f aca="false">MONTH(A318)</f>
        <v>6</v>
      </c>
      <c r="D318" s="8" t="s">
        <v>36</v>
      </c>
      <c r="E318" s="9" t="n">
        <v>23586.2</v>
      </c>
      <c r="F318" s="10" t="n">
        <v>13.71</v>
      </c>
      <c r="G318" s="11" t="n">
        <v>125.1</v>
      </c>
      <c r="H318" s="4" t="n">
        <v>-2786</v>
      </c>
      <c r="I318" s="8" t="n">
        <v>2</v>
      </c>
      <c r="J318" s="11" t="n">
        <v>124.1</v>
      </c>
      <c r="K318" s="4" t="n">
        <v>-2764</v>
      </c>
      <c r="L318" s="8" t="n">
        <v>2</v>
      </c>
      <c r="M318" s="11" t="n">
        <v>117.6</v>
      </c>
      <c r="N318" s="4" t="n">
        <v>2422</v>
      </c>
      <c r="O318" s="8" t="n">
        <v>1</v>
      </c>
      <c r="P318" s="4" t="n">
        <f aca="false">H318+K318+N318</f>
        <v>-3128</v>
      </c>
      <c r="Q318" s="4" t="n">
        <f aca="false">Q317+P318</f>
        <v>790029</v>
      </c>
      <c r="R318" s="4" t="n">
        <f aca="false">Q318-MAX(0,MAX($Q$2:Q318))</f>
        <v>-3128</v>
      </c>
    </row>
    <row r="319" customFormat="false" ht="15" hidden="false" customHeight="false" outlineLevel="0" collapsed="false">
      <c r="A319" s="7" t="n">
        <v>45470</v>
      </c>
      <c r="B319" s="8" t="n">
        <f aca="false">YEAR(A319)</f>
        <v>2024</v>
      </c>
      <c r="C319" s="8" t="n">
        <f aca="false">MONTH(A319)</f>
        <v>6</v>
      </c>
      <c r="D319" s="8" t="s">
        <v>36</v>
      </c>
      <c r="E319" s="9" t="n">
        <v>23881.6</v>
      </c>
      <c r="F319" s="10" t="n">
        <v>14.05</v>
      </c>
      <c r="G319" s="11" t="n">
        <v>143.8</v>
      </c>
      <c r="H319" s="4" t="n">
        <v>2996</v>
      </c>
      <c r="I319" s="8" t="n">
        <v>1</v>
      </c>
      <c r="J319" s="11" t="n">
        <v>142.1</v>
      </c>
      <c r="K319" s="4" t="n">
        <v>1994</v>
      </c>
      <c r="L319" s="8" t="n">
        <v>1</v>
      </c>
      <c r="M319" s="11" t="n">
        <v>135.9</v>
      </c>
      <c r="N319" s="4" t="n">
        <v>-3006</v>
      </c>
      <c r="O319" s="8" t="n">
        <v>2</v>
      </c>
      <c r="P319" s="4" t="n">
        <f aca="false">H319+K319+N319</f>
        <v>1984</v>
      </c>
      <c r="Q319" s="4" t="n">
        <f aca="false">Q318+P319</f>
        <v>792013</v>
      </c>
      <c r="R319" s="4" t="n">
        <f aca="false">Q319-MAX(0,MAX($Q$2:Q319))</f>
        <v>-1144</v>
      </c>
    </row>
    <row r="320" customFormat="false" ht="15" hidden="false" customHeight="false" outlineLevel="0" collapsed="false">
      <c r="A320" s="7" t="n">
        <v>45477</v>
      </c>
      <c r="B320" s="8" t="n">
        <f aca="false">YEAR(A320)</f>
        <v>2024</v>
      </c>
      <c r="C320" s="8" t="n">
        <f aca="false">MONTH(A320)</f>
        <v>7</v>
      </c>
      <c r="D320" s="8" t="s">
        <v>36</v>
      </c>
      <c r="E320" s="9" t="n">
        <v>24370</v>
      </c>
      <c r="F320" s="10" t="n">
        <v>13.21</v>
      </c>
      <c r="G320" s="11" t="n">
        <v>136.1</v>
      </c>
      <c r="H320" s="4" t="n">
        <v>-417</v>
      </c>
      <c r="I320" s="8" t="n">
        <v>1</v>
      </c>
      <c r="J320" s="11" t="n">
        <v>134.9</v>
      </c>
      <c r="K320" s="4" t="n">
        <v>3653</v>
      </c>
      <c r="L320" s="8" t="n">
        <v>1</v>
      </c>
      <c r="M320" s="11" t="n">
        <v>128.4</v>
      </c>
      <c r="N320" s="4" t="n">
        <v>2174</v>
      </c>
      <c r="O320" s="8" t="n">
        <v>1</v>
      </c>
      <c r="P320" s="4" t="n">
        <f aca="false">H320+K320+N320</f>
        <v>5410</v>
      </c>
      <c r="Q320" s="4" t="n">
        <f aca="false">Q319+P320</f>
        <v>797423</v>
      </c>
      <c r="R320" s="4" t="n">
        <f aca="false">Q320-MAX(0,MAX($Q$2:Q320))</f>
        <v>0</v>
      </c>
    </row>
    <row r="321" customFormat="false" ht="15" hidden="false" customHeight="false" outlineLevel="0" collapsed="false">
      <c r="A321" s="7" t="n">
        <v>45484</v>
      </c>
      <c r="B321" s="8" t="n">
        <f aca="false">YEAR(A321)</f>
        <v>2024</v>
      </c>
      <c r="C321" s="8" t="n">
        <f aca="false">MONTH(A321)</f>
        <v>7</v>
      </c>
      <c r="D321" s="8" t="s">
        <v>36</v>
      </c>
      <c r="E321" s="9" t="n">
        <v>24396.6</v>
      </c>
      <c r="F321" s="10" t="n">
        <v>14.43</v>
      </c>
      <c r="G321" s="11" t="n">
        <v>116.3</v>
      </c>
      <c r="H321" s="4" t="n">
        <v>2933</v>
      </c>
      <c r="I321" s="8" t="n">
        <v>1</v>
      </c>
      <c r="J321" s="11" t="n">
        <v>115.1</v>
      </c>
      <c r="K321" s="4" t="n">
        <v>-2581</v>
      </c>
      <c r="L321" s="8" t="n">
        <v>2</v>
      </c>
      <c r="M321" s="11" t="n">
        <v>108.4</v>
      </c>
      <c r="N321" s="4" t="n">
        <v>2254</v>
      </c>
      <c r="O321" s="8" t="n">
        <v>1</v>
      </c>
      <c r="P321" s="4" t="n">
        <f aca="false">H321+K321+N321</f>
        <v>2606</v>
      </c>
      <c r="Q321" s="4" t="n">
        <f aca="false">Q320+P321</f>
        <v>800029</v>
      </c>
      <c r="R321" s="4" t="n">
        <f aca="false">Q321-MAX(0,MAX($Q$2:Q321))</f>
        <v>0</v>
      </c>
    </row>
    <row r="322" customFormat="false" ht="15" hidden="false" customHeight="false" outlineLevel="0" collapsed="false">
      <c r="A322" s="7" t="n">
        <v>45491</v>
      </c>
      <c r="B322" s="8" t="n">
        <f aca="false">YEAR(A322)</f>
        <v>2024</v>
      </c>
      <c r="C322" s="8" t="n">
        <f aca="false">MONTH(A322)</f>
        <v>7</v>
      </c>
      <c r="D322" s="8" t="s">
        <v>36</v>
      </c>
      <c r="E322" s="9" t="n">
        <v>24543.8</v>
      </c>
      <c r="F322" s="10" t="n">
        <v>14.22</v>
      </c>
      <c r="G322" s="11" t="n">
        <v>167.7</v>
      </c>
      <c r="H322" s="4" t="n">
        <v>3013</v>
      </c>
      <c r="I322" s="8" t="n">
        <v>1</v>
      </c>
      <c r="J322" s="11" t="n">
        <v>164.9</v>
      </c>
      <c r="K322" s="4" t="n">
        <v>4133</v>
      </c>
      <c r="L322" s="8" t="n">
        <v>1</v>
      </c>
      <c r="M322" s="11" t="n">
        <v>158</v>
      </c>
      <c r="N322" s="4" t="n">
        <v>-3458</v>
      </c>
      <c r="O322" s="8" t="n">
        <v>2</v>
      </c>
      <c r="P322" s="4" t="n">
        <f aca="false">H322+K322+N322</f>
        <v>3688</v>
      </c>
      <c r="Q322" s="4" t="n">
        <f aca="false">Q321+P322</f>
        <v>803717</v>
      </c>
      <c r="R322" s="4" t="n">
        <f aca="false">Q322-MAX(0,MAX($Q$2:Q322))</f>
        <v>0</v>
      </c>
    </row>
    <row r="323" customFormat="false" ht="15" hidden="false" customHeight="false" outlineLevel="0" collapsed="false">
      <c r="A323" s="7" t="n">
        <v>45498</v>
      </c>
      <c r="B323" s="8" t="n">
        <f aca="false">YEAR(A323)</f>
        <v>2024</v>
      </c>
      <c r="C323" s="8" t="n">
        <f aca="false">MONTH(A323)</f>
        <v>7</v>
      </c>
      <c r="D323" s="8" t="s">
        <v>36</v>
      </c>
      <c r="E323" s="9" t="n">
        <v>24231</v>
      </c>
      <c r="F323" s="10" t="n">
        <v>11.76</v>
      </c>
      <c r="G323" s="11" t="n">
        <v>159.9</v>
      </c>
      <c r="H323" s="4" t="n">
        <v>2263</v>
      </c>
      <c r="I323" s="8" t="n">
        <v>1</v>
      </c>
      <c r="J323" s="11" t="n">
        <v>157</v>
      </c>
      <c r="K323" s="4" t="n">
        <v>2408</v>
      </c>
      <c r="L323" s="8" t="n">
        <v>1</v>
      </c>
      <c r="M323" s="11" t="n">
        <v>149.7</v>
      </c>
      <c r="N323" s="4" t="n">
        <v>2845</v>
      </c>
      <c r="O323" s="8" t="n">
        <v>1</v>
      </c>
      <c r="P323" s="4" t="n">
        <f aca="false">H323+K323+N323</f>
        <v>7516</v>
      </c>
      <c r="Q323" s="4" t="n">
        <f aca="false">Q322+P323</f>
        <v>811233</v>
      </c>
      <c r="R323" s="4" t="n">
        <f aca="false">Q323-MAX(0,MAX($Q$2:Q323))</f>
        <v>0</v>
      </c>
    </row>
    <row r="324" customFormat="false" ht="15" hidden="false" customHeight="false" outlineLevel="0" collapsed="false">
      <c r="A324" s="7" t="n">
        <v>45505</v>
      </c>
      <c r="B324" s="8" t="n">
        <f aca="false">YEAR(A324)</f>
        <v>2024</v>
      </c>
      <c r="C324" s="8" t="n">
        <f aca="false">MONTH(A324)</f>
        <v>8</v>
      </c>
      <c r="D324" s="8" t="s">
        <v>36</v>
      </c>
      <c r="E324" s="9" t="n">
        <v>25031</v>
      </c>
      <c r="F324" s="10" t="n">
        <v>13.25</v>
      </c>
      <c r="G324" s="11" t="n">
        <v>140.8</v>
      </c>
      <c r="H324" s="4" t="n">
        <v>3786</v>
      </c>
      <c r="I324" s="8" t="n">
        <v>1</v>
      </c>
      <c r="J324" s="11" t="n">
        <v>137.6</v>
      </c>
      <c r="K324" s="4" t="n">
        <v>3383</v>
      </c>
      <c r="L324" s="8" t="n">
        <v>1</v>
      </c>
      <c r="M324" s="11" t="n">
        <v>130.8</v>
      </c>
      <c r="N324" s="4" t="n">
        <v>2430</v>
      </c>
      <c r="O324" s="8" t="n">
        <v>1</v>
      </c>
      <c r="P324" s="4" t="n">
        <f aca="false">H324+K324+N324</f>
        <v>9599</v>
      </c>
      <c r="Q324" s="4" t="n">
        <f aca="false">Q323+P324</f>
        <v>820832</v>
      </c>
      <c r="R324" s="4" t="n">
        <f aca="false">Q324-MAX(0,MAX($Q$2:Q324))</f>
        <v>0</v>
      </c>
    </row>
    <row r="325" customFormat="false" ht="15" hidden="false" customHeight="false" outlineLevel="0" collapsed="false">
      <c r="A325" s="7" t="n">
        <v>45512</v>
      </c>
      <c r="B325" s="8" t="n">
        <f aca="false">YEAR(A325)</f>
        <v>2024</v>
      </c>
      <c r="C325" s="8" t="n">
        <f aca="false">MONTH(A325)</f>
        <v>8</v>
      </c>
      <c r="D325" s="8" t="s">
        <v>36</v>
      </c>
      <c r="E325" s="9" t="n">
        <v>24248.6</v>
      </c>
      <c r="F325" s="10" t="n">
        <v>16.17</v>
      </c>
      <c r="G325" s="11" t="n">
        <v>173.9</v>
      </c>
      <c r="H325" s="4" t="n">
        <v>-3785</v>
      </c>
      <c r="I325" s="8" t="n">
        <v>2</v>
      </c>
      <c r="J325" s="11" t="n">
        <v>170.3</v>
      </c>
      <c r="K325" s="4" t="n">
        <v>-3710</v>
      </c>
      <c r="L325" s="8" t="n">
        <v>2</v>
      </c>
      <c r="M325" s="11" t="n">
        <v>163.4</v>
      </c>
      <c r="N325" s="4" t="n">
        <v>-3569</v>
      </c>
      <c r="O325" s="8" t="n">
        <v>2</v>
      </c>
      <c r="P325" s="4" t="n">
        <f aca="false">H325+K325+N325</f>
        <v>-11064</v>
      </c>
      <c r="Q325" s="4" t="n">
        <f aca="false">Q324+P325</f>
        <v>809768</v>
      </c>
      <c r="R325" s="4" t="n">
        <f aca="false">Q325-MAX(0,MAX($Q$2:Q325))</f>
        <v>-11064</v>
      </c>
    </row>
    <row r="326" customFormat="false" ht="15" hidden="false" customHeight="false" outlineLevel="0" collapsed="false">
      <c r="A326" s="7" t="n">
        <v>45518</v>
      </c>
      <c r="B326" s="8" t="n">
        <f aca="false">YEAR(A326)</f>
        <v>2024</v>
      </c>
      <c r="C326" s="8" t="n">
        <f aca="false">MONTH(A326)</f>
        <v>8</v>
      </c>
      <c r="D326" s="8" t="s">
        <v>37</v>
      </c>
      <c r="E326" s="9" t="n">
        <v>24184.4</v>
      </c>
      <c r="F326" s="10" t="n">
        <v>16.17</v>
      </c>
      <c r="G326" s="11" t="n">
        <v>184</v>
      </c>
      <c r="H326" s="4" t="n">
        <v>9173</v>
      </c>
      <c r="I326" s="8" t="n">
        <v>0</v>
      </c>
      <c r="J326" s="11" t="n">
        <v>181</v>
      </c>
      <c r="K326" s="4" t="n">
        <v>8976</v>
      </c>
      <c r="L326" s="8" t="n">
        <v>0</v>
      </c>
      <c r="M326" s="11" t="n">
        <v>172.9</v>
      </c>
      <c r="N326" s="4" t="n">
        <v>8451</v>
      </c>
      <c r="O326" s="8" t="n">
        <v>0</v>
      </c>
      <c r="P326" s="4" t="n">
        <f aca="false">H326+K326+N326</f>
        <v>26600</v>
      </c>
      <c r="Q326" s="4" t="n">
        <f aca="false">Q325+P326</f>
        <v>836368</v>
      </c>
      <c r="R326" s="4" t="n">
        <f aca="false">Q326-MAX(0,MAX($Q$2:Q326))</f>
        <v>0</v>
      </c>
    </row>
    <row r="327" customFormat="false" ht="15" hidden="false" customHeight="false" outlineLevel="0" collapsed="false">
      <c r="A327" s="7" t="n">
        <v>45526</v>
      </c>
      <c r="B327" s="8" t="n">
        <f aca="false">YEAR(A327)</f>
        <v>2024</v>
      </c>
      <c r="C327" s="8" t="n">
        <f aca="false">MONTH(A327)</f>
        <v>8</v>
      </c>
      <c r="D327" s="8" t="s">
        <v>36</v>
      </c>
      <c r="E327" s="9" t="n">
        <v>24863.4</v>
      </c>
      <c r="F327" s="10" t="n">
        <v>13.33</v>
      </c>
      <c r="G327" s="11" t="n">
        <v>108.5</v>
      </c>
      <c r="H327" s="4" t="n">
        <v>2248</v>
      </c>
      <c r="I327" s="8" t="n">
        <v>1</v>
      </c>
      <c r="J327" s="11" t="n">
        <v>105.2</v>
      </c>
      <c r="K327" s="4" t="n">
        <v>1381</v>
      </c>
      <c r="L327" s="8" t="n">
        <v>1</v>
      </c>
      <c r="M327" s="11" t="n">
        <v>100.6</v>
      </c>
      <c r="N327" s="4" t="n">
        <v>4797</v>
      </c>
      <c r="O327" s="8" t="n">
        <v>0</v>
      </c>
      <c r="P327" s="4" t="n">
        <f aca="false">H327+K327+N327</f>
        <v>8426</v>
      </c>
      <c r="Q327" s="4" t="n">
        <f aca="false">Q326+P327</f>
        <v>844794</v>
      </c>
      <c r="R327" s="4" t="n">
        <f aca="false">Q327-MAX(0,MAX($Q$2:Q327))</f>
        <v>0</v>
      </c>
    </row>
    <row r="328" customFormat="false" ht="15" hidden="false" customHeight="false" outlineLevel="0" collapsed="false">
      <c r="A328" s="7" t="n">
        <v>45533</v>
      </c>
      <c r="B328" s="8" t="n">
        <f aca="false">YEAR(A328)</f>
        <v>2024</v>
      </c>
      <c r="C328" s="8" t="n">
        <f aca="false">MONTH(A328)</f>
        <v>8</v>
      </c>
      <c r="D328" s="8" t="s">
        <v>36</v>
      </c>
      <c r="E328" s="9" t="n">
        <v>25035.3</v>
      </c>
      <c r="F328" s="10" t="n">
        <v>13.95</v>
      </c>
      <c r="G328" s="11" t="n">
        <v>92.6</v>
      </c>
      <c r="H328" s="4" t="n">
        <v>2269</v>
      </c>
      <c r="I328" s="8" t="n">
        <v>1</v>
      </c>
      <c r="J328" s="11" t="n">
        <v>90.6</v>
      </c>
      <c r="K328" s="4" t="n">
        <v>1680</v>
      </c>
      <c r="L328" s="8" t="n">
        <v>1</v>
      </c>
      <c r="M328" s="11" t="n">
        <v>87.1</v>
      </c>
      <c r="N328" s="4" t="n">
        <v>-2008</v>
      </c>
      <c r="O328" s="8" t="n">
        <v>2</v>
      </c>
      <c r="P328" s="4" t="n">
        <f aca="false">H328+K328+N328</f>
        <v>1941</v>
      </c>
      <c r="Q328" s="4" t="n">
        <f aca="false">Q327+P328</f>
        <v>846735</v>
      </c>
      <c r="R328" s="4" t="n">
        <f aca="false">Q328-MAX(0,MAX($Q$2:Q328))</f>
        <v>0</v>
      </c>
    </row>
    <row r="329" customFormat="false" ht="15" hidden="false" customHeight="false" outlineLevel="0" collapsed="false">
      <c r="A329" s="7" t="n">
        <v>45540</v>
      </c>
      <c r="B329" s="8" t="n">
        <f aca="false">YEAR(A329)</f>
        <v>2024</v>
      </c>
      <c r="C329" s="8" t="n">
        <f aca="false">MONTH(A329)</f>
        <v>9</v>
      </c>
      <c r="D329" s="8" t="s">
        <v>36</v>
      </c>
      <c r="E329" s="9" t="n">
        <v>25250.5</v>
      </c>
      <c r="F329" s="10" t="n">
        <v>14.38</v>
      </c>
      <c r="G329" s="11" t="n">
        <v>99.1</v>
      </c>
      <c r="H329" s="4" t="n">
        <v>2301</v>
      </c>
      <c r="I329" s="8" t="n">
        <v>1</v>
      </c>
      <c r="J329" s="11" t="n">
        <v>98.5</v>
      </c>
      <c r="K329" s="4" t="n">
        <v>2874</v>
      </c>
      <c r="L329" s="8" t="n">
        <v>1</v>
      </c>
      <c r="M329" s="11" t="n">
        <v>93.6</v>
      </c>
      <c r="N329" s="4" t="n">
        <v>2515</v>
      </c>
      <c r="O329" s="8" t="n">
        <v>1</v>
      </c>
      <c r="P329" s="4" t="n">
        <f aca="false">H329+K329+N329</f>
        <v>7690</v>
      </c>
      <c r="Q329" s="4" t="n">
        <f aca="false">Q328+P329</f>
        <v>854425</v>
      </c>
      <c r="R329" s="4" t="n">
        <f aca="false">Q329-MAX(0,MAX($Q$2:Q329))</f>
        <v>0</v>
      </c>
    </row>
    <row r="330" customFormat="false" ht="15" hidden="false" customHeight="false" outlineLevel="0" collapsed="false">
      <c r="A330" s="7" t="n">
        <v>45547</v>
      </c>
      <c r="B330" s="8" t="n">
        <f aca="false">YEAR(A330)</f>
        <v>2024</v>
      </c>
      <c r="C330" s="8" t="n">
        <f aca="false">MONTH(A330)</f>
        <v>9</v>
      </c>
      <c r="D330" s="8" t="s">
        <v>36</v>
      </c>
      <c r="E330" s="9" t="n">
        <v>25059.6</v>
      </c>
      <c r="F330" s="10" t="n">
        <v>13.63</v>
      </c>
      <c r="G330" s="11" t="n">
        <v>139.2</v>
      </c>
      <c r="H330" s="4" t="n">
        <v>-3074</v>
      </c>
      <c r="I330" s="8" t="n">
        <v>2</v>
      </c>
      <c r="J330" s="11" t="n">
        <v>136.8</v>
      </c>
      <c r="K330" s="4" t="n">
        <v>-3025</v>
      </c>
      <c r="L330" s="8" t="n">
        <v>2</v>
      </c>
      <c r="M330" s="11" t="n">
        <v>131.4</v>
      </c>
      <c r="N330" s="4" t="n">
        <v>-2913</v>
      </c>
      <c r="O330" s="8" t="n">
        <v>2</v>
      </c>
      <c r="P330" s="4" t="n">
        <f aca="false">H330+K330+N330</f>
        <v>-9012</v>
      </c>
      <c r="Q330" s="4" t="n">
        <f aca="false">Q329+P330</f>
        <v>845413</v>
      </c>
      <c r="R330" s="4" t="n">
        <f aca="false">Q330-MAX(0,MAX($Q$2:Q330))</f>
        <v>-9012</v>
      </c>
    </row>
    <row r="331" customFormat="false" ht="15" hidden="false" customHeight="false" outlineLevel="0" collapsed="false">
      <c r="A331" s="7" t="n">
        <v>45554</v>
      </c>
      <c r="B331" s="8" t="n">
        <f aca="false">YEAR(A331)</f>
        <v>2024</v>
      </c>
      <c r="C331" s="8" t="n">
        <f aca="false">MONTH(A331)</f>
        <v>9</v>
      </c>
      <c r="D331" s="8" t="s">
        <v>36</v>
      </c>
      <c r="E331" s="9" t="n">
        <v>25487</v>
      </c>
      <c r="F331" s="10" t="n">
        <v>13.37</v>
      </c>
      <c r="G331" s="11" t="n">
        <v>170</v>
      </c>
      <c r="H331" s="4" t="n">
        <v>4643</v>
      </c>
      <c r="I331" s="8" t="n">
        <v>1</v>
      </c>
      <c r="J331" s="11" t="n">
        <v>166.3</v>
      </c>
      <c r="K331" s="4" t="n">
        <v>-3629</v>
      </c>
      <c r="L331" s="8" t="n">
        <v>2</v>
      </c>
      <c r="M331" s="11" t="n">
        <v>158.8</v>
      </c>
      <c r="N331" s="4" t="n">
        <v>2753</v>
      </c>
      <c r="O331" s="8" t="n">
        <v>1</v>
      </c>
      <c r="P331" s="4" t="n">
        <f aca="false">H331+K331+N331</f>
        <v>3767</v>
      </c>
      <c r="Q331" s="4" t="n">
        <f aca="false">Q330+P331</f>
        <v>849180</v>
      </c>
      <c r="R331" s="4" t="n">
        <f aca="false">Q331-MAX(0,MAX($Q$2:Q331))</f>
        <v>-5245</v>
      </c>
    </row>
    <row r="332" customFormat="false" ht="15" hidden="false" customHeight="false" outlineLevel="0" collapsed="false">
      <c r="A332" s="7" t="n">
        <v>45561</v>
      </c>
      <c r="B332" s="8" t="n">
        <f aca="false">YEAR(A332)</f>
        <v>2024</v>
      </c>
      <c r="C332" s="8" t="n">
        <f aca="false">MONTH(A332)</f>
        <v>9</v>
      </c>
      <c r="D332" s="8" t="s">
        <v>36</v>
      </c>
      <c r="E332" s="9" t="n">
        <v>26005.4</v>
      </c>
      <c r="F332" s="10" t="n">
        <v>12.74</v>
      </c>
      <c r="G332" s="11" t="n">
        <v>114.5</v>
      </c>
      <c r="H332" s="4" t="n">
        <v>2361</v>
      </c>
      <c r="I332" s="8" t="n">
        <v>1</v>
      </c>
      <c r="J332" s="11" t="n">
        <v>112.8</v>
      </c>
      <c r="K332" s="4" t="n">
        <v>2755</v>
      </c>
      <c r="L332" s="8" t="n">
        <v>1</v>
      </c>
      <c r="M332" s="11" t="n">
        <v>107.6</v>
      </c>
      <c r="N332" s="4" t="n">
        <v>2110</v>
      </c>
      <c r="O332" s="8" t="n">
        <v>1</v>
      </c>
      <c r="P332" s="4" t="n">
        <f aca="false">H332+K332+N332</f>
        <v>7226</v>
      </c>
      <c r="Q332" s="4" t="n">
        <f aca="false">Q331+P332</f>
        <v>856406</v>
      </c>
      <c r="R332" s="4" t="n">
        <f aca="false">Q332-MAX(0,MAX($Q$2:Q332))</f>
        <v>0</v>
      </c>
    </row>
    <row r="333" customFormat="false" ht="15" hidden="false" customHeight="false" outlineLevel="0" collapsed="false">
      <c r="A333" s="7" t="n">
        <v>45568</v>
      </c>
      <c r="B333" s="8" t="n">
        <f aca="false">YEAR(A333)</f>
        <v>2024</v>
      </c>
      <c r="C333" s="8" t="n">
        <f aca="false">MONTH(A333)</f>
        <v>10</v>
      </c>
      <c r="D333" s="8" t="s">
        <v>36</v>
      </c>
      <c r="E333" s="9" t="n">
        <v>25452.8</v>
      </c>
      <c r="F333" s="10" t="n">
        <v>11.99</v>
      </c>
      <c r="G333" s="11" t="n">
        <v>219.6</v>
      </c>
      <c r="H333" s="4" t="n">
        <v>-4720</v>
      </c>
      <c r="I333" s="8" t="n">
        <v>2</v>
      </c>
      <c r="J333" s="11" t="n">
        <v>216.4</v>
      </c>
      <c r="K333" s="4" t="n">
        <v>5111</v>
      </c>
      <c r="L333" s="8" t="n">
        <v>1</v>
      </c>
      <c r="M333" s="11" t="n">
        <v>206.8</v>
      </c>
      <c r="N333" s="4" t="n">
        <v>4994</v>
      </c>
      <c r="O333" s="8" t="n">
        <v>1</v>
      </c>
      <c r="P333" s="4" t="n">
        <f aca="false">H333+K333+N333</f>
        <v>5385</v>
      </c>
      <c r="Q333" s="4" t="n">
        <f aca="false">Q332+P333</f>
        <v>861791</v>
      </c>
      <c r="R333" s="4" t="n">
        <f aca="false">Q333-MAX(0,MAX($Q$2:Q333))</f>
        <v>0</v>
      </c>
    </row>
    <row r="334" customFormat="false" ht="15" hidden="false" customHeight="false" outlineLevel="0" collapsed="false">
      <c r="A334" s="7" t="n">
        <v>45575</v>
      </c>
      <c r="B334" s="8" t="n">
        <f aca="false">YEAR(A334)</f>
        <v>2024</v>
      </c>
      <c r="C334" s="8" t="n">
        <f aca="false">MONTH(A334)</f>
        <v>10</v>
      </c>
      <c r="D334" s="8" t="s">
        <v>36</v>
      </c>
      <c r="E334" s="9" t="n">
        <v>25067</v>
      </c>
      <c r="F334" s="10" t="n">
        <v>14.12</v>
      </c>
      <c r="G334" s="11" t="n">
        <v>155.4</v>
      </c>
      <c r="H334" s="4" t="n">
        <v>-90</v>
      </c>
      <c r="I334" s="8" t="n">
        <v>1</v>
      </c>
      <c r="J334" s="11" t="n">
        <v>153</v>
      </c>
      <c r="K334" s="4" t="n">
        <v>326</v>
      </c>
      <c r="L334" s="8" t="n">
        <v>1</v>
      </c>
      <c r="M334" s="11" t="n">
        <v>147.3</v>
      </c>
      <c r="N334" s="4" t="n">
        <v>-3240</v>
      </c>
      <c r="O334" s="8" t="n">
        <v>2</v>
      </c>
      <c r="P334" s="4" t="n">
        <f aca="false">H334+K334+N334</f>
        <v>-3004</v>
      </c>
      <c r="Q334" s="4" t="n">
        <f aca="false">Q333+P334</f>
        <v>858787</v>
      </c>
      <c r="R334" s="4" t="n">
        <f aca="false">Q334-MAX(0,MAX($Q$2:Q334))</f>
        <v>-3004</v>
      </c>
    </row>
    <row r="335" customFormat="false" ht="15" hidden="false" customHeight="false" outlineLevel="0" collapsed="false">
      <c r="A335" s="7" t="n">
        <v>45582</v>
      </c>
      <c r="B335" s="8" t="n">
        <f aca="false">YEAR(A335)</f>
        <v>2024</v>
      </c>
      <c r="C335" s="8" t="n">
        <f aca="false">MONTH(A335)</f>
        <v>10</v>
      </c>
      <c r="D335" s="8" t="s">
        <v>36</v>
      </c>
      <c r="E335" s="9" t="n">
        <v>25027.4</v>
      </c>
      <c r="F335" s="10" t="n">
        <v>13.05</v>
      </c>
      <c r="G335" s="11" t="n">
        <v>119.6</v>
      </c>
      <c r="H335" s="4" t="n">
        <v>2501</v>
      </c>
      <c r="I335" s="8" t="n">
        <v>1</v>
      </c>
      <c r="J335" s="11" t="n">
        <v>117.5</v>
      </c>
      <c r="K335" s="4" t="n">
        <v>2739</v>
      </c>
      <c r="L335" s="8" t="n">
        <v>1</v>
      </c>
      <c r="M335" s="11" t="n">
        <v>112.8</v>
      </c>
      <c r="N335" s="4" t="n">
        <v>1547</v>
      </c>
      <c r="O335" s="8" t="n">
        <v>1</v>
      </c>
      <c r="P335" s="4" t="n">
        <f aca="false">H335+K335+N335</f>
        <v>6787</v>
      </c>
      <c r="Q335" s="4" t="n">
        <f aca="false">Q334+P335</f>
        <v>865574</v>
      </c>
      <c r="R335" s="4" t="n">
        <f aca="false">Q335-MAX(0,MAX($Q$2:Q335))</f>
        <v>0</v>
      </c>
    </row>
    <row r="336" customFormat="false" ht="15" hidden="false" customHeight="false" outlineLevel="0" collapsed="false">
      <c r="A336" s="7" t="n">
        <v>45589</v>
      </c>
      <c r="B336" s="8" t="n">
        <f aca="false">YEAR(A336)</f>
        <v>2024</v>
      </c>
      <c r="C336" s="8" t="n">
        <f aca="false">MONTH(A336)</f>
        <v>10</v>
      </c>
      <c r="D336" s="8" t="s">
        <v>36</v>
      </c>
      <c r="E336" s="9" t="n">
        <v>24412.7</v>
      </c>
      <c r="F336" s="10" t="n">
        <v>14.62</v>
      </c>
      <c r="G336" s="11" t="n">
        <v>159.5</v>
      </c>
      <c r="H336" s="4" t="n">
        <v>3556</v>
      </c>
      <c r="I336" s="8" t="n">
        <v>1</v>
      </c>
      <c r="J336" s="11" t="n">
        <v>154.9</v>
      </c>
      <c r="K336" s="4" t="n">
        <v>-3396</v>
      </c>
      <c r="L336" s="8" t="n">
        <v>2</v>
      </c>
      <c r="M336" s="11" t="n">
        <v>149.3</v>
      </c>
      <c r="N336" s="4" t="n">
        <v>7397</v>
      </c>
      <c r="O336" s="8" t="n">
        <v>0</v>
      </c>
      <c r="P336" s="4" t="n">
        <f aca="false">H336+K336+N336</f>
        <v>7557</v>
      </c>
      <c r="Q336" s="4" t="n">
        <f aca="false">Q335+P336</f>
        <v>873131</v>
      </c>
      <c r="R336" s="4" t="n">
        <f aca="false">Q336-MAX(0,MAX($Q$2:Q336))</f>
        <v>0</v>
      </c>
    </row>
    <row r="337" customFormat="false" ht="15" hidden="false" customHeight="false" outlineLevel="0" collapsed="false">
      <c r="A337" s="7" t="n">
        <v>45596</v>
      </c>
      <c r="B337" s="8" t="n">
        <f aca="false">YEAR(A337)</f>
        <v>2024</v>
      </c>
      <c r="C337" s="8" t="n">
        <f aca="false">MONTH(A337)</f>
        <v>10</v>
      </c>
      <c r="D337" s="8" t="s">
        <v>36</v>
      </c>
      <c r="E337" s="9" t="n">
        <v>24349.8</v>
      </c>
      <c r="F337" s="10" t="n">
        <v>15.51</v>
      </c>
      <c r="G337" s="11" t="n">
        <v>148.3</v>
      </c>
      <c r="H337" s="4" t="n">
        <v>3292</v>
      </c>
      <c r="I337" s="8" t="n">
        <v>1</v>
      </c>
      <c r="J337" s="11" t="n">
        <v>145.5</v>
      </c>
      <c r="K337" s="4" t="n">
        <v>-269</v>
      </c>
      <c r="L337" s="8" t="n">
        <v>1</v>
      </c>
      <c r="M337" s="11" t="n">
        <v>139.3</v>
      </c>
      <c r="N337" s="4" t="n">
        <v>2742</v>
      </c>
      <c r="O337" s="8" t="n">
        <v>1</v>
      </c>
      <c r="P337" s="4" t="n">
        <f aca="false">H337+K337+N337</f>
        <v>5765</v>
      </c>
      <c r="Q337" s="4" t="n">
        <f aca="false">Q336+P337</f>
        <v>878896</v>
      </c>
      <c r="R337" s="4" t="n">
        <f aca="false">Q337-MAX(0,MAX($Q$2:Q337))</f>
        <v>0</v>
      </c>
    </row>
    <row r="338" customFormat="false" ht="15" hidden="false" customHeight="false" outlineLevel="0" collapsed="false">
      <c r="A338" s="7" t="n">
        <v>45603</v>
      </c>
      <c r="B338" s="8" t="n">
        <f aca="false">YEAR(A338)</f>
        <v>2024</v>
      </c>
      <c r="C338" s="8" t="n">
        <f aca="false">MONTH(A338)</f>
        <v>11</v>
      </c>
      <c r="D338" s="8" t="s">
        <v>36</v>
      </c>
      <c r="E338" s="9" t="n">
        <v>24489.6</v>
      </c>
      <c r="F338" s="10" t="n">
        <v>14.87</v>
      </c>
      <c r="G338" s="11" t="n">
        <v>170.5</v>
      </c>
      <c r="H338" s="4" t="n">
        <v>4855</v>
      </c>
      <c r="I338" s="8" t="n">
        <v>1</v>
      </c>
      <c r="J338" s="11" t="n">
        <v>166</v>
      </c>
      <c r="K338" s="4" t="n">
        <v>4200</v>
      </c>
      <c r="L338" s="8" t="n">
        <v>1</v>
      </c>
      <c r="M338" s="11" t="n">
        <v>158.8</v>
      </c>
      <c r="N338" s="4" t="n">
        <v>7885</v>
      </c>
      <c r="O338" s="8" t="n">
        <v>0</v>
      </c>
      <c r="P338" s="4" t="n">
        <f aca="false">H338+K338+N338</f>
        <v>16940</v>
      </c>
      <c r="Q338" s="4" t="n">
        <f aca="false">Q337+P338</f>
        <v>895836</v>
      </c>
      <c r="R338" s="4" t="n">
        <f aca="false">Q338-MAX(0,MAX($Q$2:Q338))</f>
        <v>0</v>
      </c>
    </row>
    <row r="339" customFormat="false" ht="15" hidden="false" customHeight="false" outlineLevel="0" collapsed="false">
      <c r="A339" s="7" t="n">
        <v>45610</v>
      </c>
      <c r="B339" s="8" t="n">
        <f aca="false">YEAR(A339)</f>
        <v>2024</v>
      </c>
      <c r="C339" s="8" t="n">
        <f aca="false">MONTH(A339)</f>
        <v>11</v>
      </c>
      <c r="D339" s="8" t="s">
        <v>36</v>
      </c>
      <c r="E339" s="9" t="n">
        <v>23542.2</v>
      </c>
      <c r="F339" s="10" t="n">
        <v>15.44</v>
      </c>
      <c r="G339" s="11" t="n">
        <v>200.9</v>
      </c>
      <c r="H339" s="4" t="n">
        <v>-4338</v>
      </c>
      <c r="I339" s="8" t="n">
        <v>2</v>
      </c>
      <c r="J339" s="11" t="n">
        <v>197</v>
      </c>
      <c r="K339" s="4" t="n">
        <v>-4257</v>
      </c>
      <c r="L339" s="8" t="n">
        <v>2</v>
      </c>
      <c r="M339" s="11" t="n">
        <v>189.1</v>
      </c>
      <c r="N339" s="4" t="n">
        <v>4414</v>
      </c>
      <c r="O339" s="8" t="n">
        <v>1</v>
      </c>
      <c r="P339" s="4" t="n">
        <f aca="false">H339+K339+N339</f>
        <v>-4181</v>
      </c>
      <c r="Q339" s="4" t="n">
        <f aca="false">Q338+P339</f>
        <v>891655</v>
      </c>
      <c r="R339" s="4" t="n">
        <f aca="false">Q339-MAX(0,MAX($Q$2:Q339))</f>
        <v>-4181</v>
      </c>
    </row>
    <row r="340" customFormat="false" ht="15" hidden="false" customHeight="false" outlineLevel="0" collapsed="false">
      <c r="A340" s="7" t="n">
        <v>45617</v>
      </c>
      <c r="B340" s="8" t="n">
        <f aca="false">YEAR(A340)</f>
        <v>2024</v>
      </c>
      <c r="C340" s="8" t="n">
        <f aca="false">MONTH(A340)</f>
        <v>11</v>
      </c>
      <c r="D340" s="8" t="s">
        <v>36</v>
      </c>
      <c r="E340" s="9" t="n">
        <v>23488.4</v>
      </c>
      <c r="F340" s="10" t="n">
        <v>15.66</v>
      </c>
      <c r="G340" s="11" t="n">
        <v>206.6</v>
      </c>
      <c r="H340" s="4" t="n">
        <v>4827</v>
      </c>
      <c r="I340" s="8" t="n">
        <v>1</v>
      </c>
      <c r="J340" s="11" t="n">
        <v>202</v>
      </c>
      <c r="K340" s="4" t="n">
        <v>8796</v>
      </c>
      <c r="L340" s="8" t="n">
        <v>0</v>
      </c>
      <c r="M340" s="11" t="n">
        <v>193.1</v>
      </c>
      <c r="N340" s="4" t="n">
        <v>9597</v>
      </c>
      <c r="O340" s="8" t="n">
        <v>0</v>
      </c>
      <c r="P340" s="4" t="n">
        <f aca="false">H340+K340+N340</f>
        <v>23220</v>
      </c>
      <c r="Q340" s="4" t="n">
        <f aca="false">Q339+P340</f>
        <v>914875</v>
      </c>
      <c r="R340" s="4" t="n">
        <f aca="false">Q340-MAX(0,MAX($Q$2:Q340))</f>
        <v>0</v>
      </c>
    </row>
    <row r="341" customFormat="false" ht="15" hidden="false" customHeight="false" outlineLevel="0" collapsed="false">
      <c r="A341" s="7" t="n">
        <v>45624</v>
      </c>
      <c r="B341" s="8" t="n">
        <f aca="false">YEAR(A341)</f>
        <v>2024</v>
      </c>
      <c r="C341" s="8" t="n">
        <f aca="false">MONTH(A341)</f>
        <v>11</v>
      </c>
      <c r="D341" s="8" t="s">
        <v>36</v>
      </c>
      <c r="E341" s="9" t="n">
        <v>24274.2</v>
      </c>
      <c r="F341" s="10" t="n">
        <v>14.63</v>
      </c>
      <c r="G341" s="11" t="n">
        <v>152.2</v>
      </c>
      <c r="H341" s="4" t="n">
        <v>-3340</v>
      </c>
      <c r="I341" s="8" t="n">
        <v>2</v>
      </c>
      <c r="J341" s="11" t="n">
        <v>149.4</v>
      </c>
      <c r="K341" s="4" t="n">
        <v>-3284</v>
      </c>
      <c r="L341" s="8" t="n">
        <v>2</v>
      </c>
      <c r="M341" s="11" t="n">
        <v>143.3</v>
      </c>
      <c r="N341" s="4" t="n">
        <v>2345</v>
      </c>
      <c r="O341" s="8" t="n">
        <v>1</v>
      </c>
      <c r="P341" s="4" t="n">
        <f aca="false">H341+K341+N341</f>
        <v>-4279</v>
      </c>
      <c r="Q341" s="4" t="n">
        <f aca="false">Q340+P341</f>
        <v>910596</v>
      </c>
      <c r="R341" s="4" t="n">
        <f aca="false">Q341-MAX(0,MAX($Q$2:Q341))</f>
        <v>-4279</v>
      </c>
    </row>
    <row r="342" customFormat="false" ht="15" hidden="false" customHeight="false" outlineLevel="0" collapsed="false">
      <c r="A342" s="7" t="n">
        <v>45631</v>
      </c>
      <c r="B342" s="8" t="n">
        <f aca="false">YEAR(A342)</f>
        <v>2024</v>
      </c>
      <c r="C342" s="8" t="n">
        <f aca="false">MONTH(A342)</f>
        <v>12</v>
      </c>
      <c r="D342" s="8" t="s">
        <v>36</v>
      </c>
      <c r="E342" s="9" t="n">
        <v>24539.2</v>
      </c>
      <c r="F342" s="10" t="n">
        <v>14.45</v>
      </c>
      <c r="G342" s="11" t="n">
        <v>237.3</v>
      </c>
      <c r="H342" s="4" t="n">
        <v>-5081</v>
      </c>
      <c r="I342" s="8" t="n">
        <v>2</v>
      </c>
      <c r="J342" s="11" t="n">
        <v>232.8</v>
      </c>
      <c r="K342" s="4" t="n">
        <v>-4990</v>
      </c>
      <c r="L342" s="8" t="n">
        <v>2</v>
      </c>
      <c r="M342" s="11" t="n">
        <v>222.1</v>
      </c>
      <c r="N342" s="4" t="n">
        <v>-4770</v>
      </c>
      <c r="O342" s="8" t="n">
        <v>2</v>
      </c>
      <c r="P342" s="4" t="n">
        <f aca="false">H342+K342+N342</f>
        <v>-14841</v>
      </c>
      <c r="Q342" s="4" t="n">
        <f aca="false">Q341+P342</f>
        <v>895755</v>
      </c>
      <c r="R342" s="4" t="n">
        <f aca="false">Q342-MAX(0,MAX($Q$2:Q342))</f>
        <v>-19120</v>
      </c>
    </row>
    <row r="343" customFormat="false" ht="15" hidden="false" customHeight="false" outlineLevel="0" collapsed="false">
      <c r="A343" s="7" t="n">
        <v>45638</v>
      </c>
      <c r="B343" s="8" t="n">
        <f aca="false">YEAR(A343)</f>
        <v>2024</v>
      </c>
      <c r="C343" s="8" t="n">
        <f aca="false">MONTH(A343)</f>
        <v>12</v>
      </c>
      <c r="D343" s="8" t="s">
        <v>36</v>
      </c>
      <c r="E343" s="9" t="n">
        <v>24604.4</v>
      </c>
      <c r="F343" s="10" t="n">
        <v>13.27</v>
      </c>
      <c r="G343" s="11" t="n">
        <v>124.2</v>
      </c>
      <c r="H343" s="4" t="n">
        <v>2506</v>
      </c>
      <c r="I343" s="8" t="n">
        <v>1</v>
      </c>
      <c r="J343" s="11" t="n">
        <v>123.3</v>
      </c>
      <c r="K343" s="4" t="n">
        <v>3463</v>
      </c>
      <c r="L343" s="8" t="n">
        <v>1</v>
      </c>
      <c r="M343" s="11" t="n">
        <v>116.7</v>
      </c>
      <c r="N343" s="4" t="n">
        <v>2173</v>
      </c>
      <c r="O343" s="8" t="n">
        <v>1</v>
      </c>
      <c r="P343" s="4" t="n">
        <f aca="false">H343+K343+N343</f>
        <v>8142</v>
      </c>
      <c r="Q343" s="4" t="n">
        <f aca="false">Q342+P343</f>
        <v>903897</v>
      </c>
      <c r="R343" s="4" t="n">
        <f aca="false">Q343-MAX(0,MAX($Q$2:Q343))</f>
        <v>-10978</v>
      </c>
    </row>
    <row r="344" customFormat="false" ht="15" hidden="false" customHeight="false" outlineLevel="0" collapsed="false">
      <c r="A344" s="7" t="n">
        <v>45645</v>
      </c>
      <c r="B344" s="8" t="n">
        <f aca="false">YEAR(A344)</f>
        <v>2024</v>
      </c>
      <c r="C344" s="8" t="n">
        <f aca="false">MONTH(A344)</f>
        <v>12</v>
      </c>
      <c r="D344" s="8" t="s">
        <v>36</v>
      </c>
      <c r="E344" s="9" t="n">
        <v>23877.2</v>
      </c>
      <c r="F344" s="10" t="n">
        <v>14.37</v>
      </c>
      <c r="G344" s="11" t="n">
        <v>151.9</v>
      </c>
      <c r="H344" s="4" t="n">
        <v>2501</v>
      </c>
      <c r="I344" s="8" t="n">
        <v>1</v>
      </c>
      <c r="J344" s="11" t="n">
        <v>149.2</v>
      </c>
      <c r="K344" s="4" t="n">
        <v>2462</v>
      </c>
      <c r="L344" s="8" t="n">
        <v>1</v>
      </c>
      <c r="M344" s="11" t="n">
        <v>143.9</v>
      </c>
      <c r="N344" s="4" t="n">
        <v>2992</v>
      </c>
      <c r="O344" s="8" t="n">
        <v>1</v>
      </c>
      <c r="P344" s="4" t="n">
        <f aca="false">H344+K344+N344</f>
        <v>7955</v>
      </c>
      <c r="Q344" s="4" t="n">
        <f aca="false">Q343+P344</f>
        <v>911852</v>
      </c>
      <c r="R344" s="4" t="n">
        <f aca="false">Q344-MAX(0,MAX($Q$2:Q344))</f>
        <v>-3023</v>
      </c>
    </row>
    <row r="345" customFormat="false" ht="15" hidden="false" customHeight="false" outlineLevel="0" collapsed="false">
      <c r="A345" s="7" t="n">
        <v>45652</v>
      </c>
      <c r="B345" s="8" t="n">
        <f aca="false">YEAR(A345)</f>
        <v>2024</v>
      </c>
      <c r="C345" s="8" t="n">
        <f aca="false">MONTH(A345)</f>
        <v>12</v>
      </c>
      <c r="D345" s="8" t="s">
        <v>36</v>
      </c>
      <c r="E345" s="9" t="n">
        <v>23775.8</v>
      </c>
      <c r="F345" s="10" t="n">
        <v>13.18</v>
      </c>
      <c r="G345" s="11" t="n">
        <v>117.1</v>
      </c>
      <c r="H345" s="4" t="n">
        <v>2378</v>
      </c>
      <c r="I345" s="8" t="n">
        <v>1</v>
      </c>
      <c r="J345" s="11" t="n">
        <v>116.1</v>
      </c>
      <c r="K345" s="4" t="n">
        <v>3255</v>
      </c>
      <c r="L345" s="8" t="n">
        <v>1</v>
      </c>
      <c r="M345" s="11" t="n">
        <v>112.2</v>
      </c>
      <c r="N345" s="4" t="n">
        <v>2631</v>
      </c>
      <c r="O345" s="8" t="n">
        <v>1</v>
      </c>
      <c r="P345" s="4" t="n">
        <f aca="false">H345+K345+N345</f>
        <v>8264</v>
      </c>
      <c r="Q345" s="4" t="n">
        <f aca="false">Q344+P345</f>
        <v>920116</v>
      </c>
      <c r="R345" s="4" t="n">
        <f aca="false">Q345-MAX(0,MAX($Q$2:Q345))</f>
        <v>0</v>
      </c>
    </row>
    <row r="346" customFormat="false" ht="15" hidden="false" customHeight="false" outlineLevel="0" collapsed="false">
      <c r="A346" s="7" t="n">
        <v>45659</v>
      </c>
      <c r="B346" s="8" t="n">
        <f aca="false">YEAR(A346)</f>
        <v>2025</v>
      </c>
      <c r="C346" s="8" t="n">
        <f aca="false">MONTH(A346)</f>
        <v>1</v>
      </c>
      <c r="D346" s="8" t="s">
        <v>36</v>
      </c>
      <c r="E346" s="9" t="n">
        <v>23783</v>
      </c>
      <c r="F346" s="10" t="n">
        <v>14.45</v>
      </c>
      <c r="G346" s="11" t="n">
        <v>203.7</v>
      </c>
      <c r="H346" s="4" t="n">
        <v>3177</v>
      </c>
      <c r="I346" s="8" t="n">
        <v>1</v>
      </c>
      <c r="J346" s="11" t="n">
        <v>199.5</v>
      </c>
      <c r="K346" s="4" t="n">
        <v>4655</v>
      </c>
      <c r="L346" s="8" t="n">
        <v>1</v>
      </c>
      <c r="M346" s="11" t="n">
        <v>191.2</v>
      </c>
      <c r="N346" s="4" t="n">
        <v>4323</v>
      </c>
      <c r="O346" s="8" t="n">
        <v>1</v>
      </c>
      <c r="P346" s="4" t="n">
        <f aca="false">H346+K346+N346</f>
        <v>12155</v>
      </c>
      <c r="Q346" s="4" t="n">
        <f aca="false">Q345+P346</f>
        <v>932271</v>
      </c>
      <c r="R346" s="4" t="n">
        <f aca="false">Q346-MAX(0,MAX($Q$2:Q346))</f>
        <v>0</v>
      </c>
    </row>
    <row r="347" customFormat="false" ht="15" hidden="false" customHeight="false" outlineLevel="0" collapsed="false">
      <c r="A347" s="7" t="n">
        <v>45666</v>
      </c>
      <c r="B347" s="8" t="n">
        <f aca="false">YEAR(A347)</f>
        <v>2025</v>
      </c>
      <c r="C347" s="8" t="n">
        <f aca="false">MONTH(A347)</f>
        <v>1</v>
      </c>
      <c r="D347" s="8" t="s">
        <v>36</v>
      </c>
      <c r="E347" s="9" t="n">
        <v>23674.8</v>
      </c>
      <c r="F347" s="10" t="n">
        <v>14.47</v>
      </c>
      <c r="G347" s="11" t="n">
        <v>124.2</v>
      </c>
      <c r="H347" s="4" t="n">
        <v>3574</v>
      </c>
      <c r="I347" s="8" t="n">
        <v>1</v>
      </c>
      <c r="J347" s="11" t="n">
        <v>121</v>
      </c>
      <c r="K347" s="4" t="n">
        <v>-2701</v>
      </c>
      <c r="L347" s="8" t="n">
        <v>2</v>
      </c>
      <c r="M347" s="11" t="n">
        <v>115.7</v>
      </c>
      <c r="N347" s="4" t="n">
        <v>-2592</v>
      </c>
      <c r="O347" s="8" t="n">
        <v>2</v>
      </c>
      <c r="P347" s="4" t="n">
        <f aca="false">H347+K347+N347</f>
        <v>-1719</v>
      </c>
      <c r="Q347" s="4" t="n">
        <f aca="false">Q346+P347</f>
        <v>930552</v>
      </c>
      <c r="R347" s="4" t="n">
        <f aca="false">Q347-MAX(0,MAX($Q$2:Q347))</f>
        <v>-1719</v>
      </c>
    </row>
    <row r="348" customFormat="false" ht="15" hidden="false" customHeight="false" outlineLevel="0" collapsed="false">
      <c r="A348" s="7" t="n">
        <v>45673</v>
      </c>
      <c r="B348" s="8" t="n">
        <f aca="false">YEAR(A348)</f>
        <v>2025</v>
      </c>
      <c r="C348" s="8" t="n">
        <f aca="false">MONTH(A348)</f>
        <v>1</v>
      </c>
      <c r="D348" s="8" t="s">
        <v>36</v>
      </c>
      <c r="E348" s="9" t="n">
        <v>23377.2</v>
      </c>
      <c r="F348" s="10" t="n">
        <v>15.26</v>
      </c>
      <c r="G348" s="11" t="n">
        <v>126.9</v>
      </c>
      <c r="H348" s="4" t="n">
        <v>2211</v>
      </c>
      <c r="I348" s="8" t="n">
        <v>1</v>
      </c>
      <c r="J348" s="11" t="n">
        <v>124.6</v>
      </c>
      <c r="K348" s="4" t="n">
        <v>2639</v>
      </c>
      <c r="L348" s="8" t="n">
        <v>1</v>
      </c>
      <c r="M348" s="11" t="n">
        <v>119</v>
      </c>
      <c r="N348" s="4" t="n">
        <v>5764</v>
      </c>
      <c r="O348" s="8" t="n">
        <v>0</v>
      </c>
      <c r="P348" s="4" t="n">
        <f aca="false">H348+K348+N348</f>
        <v>10614</v>
      </c>
      <c r="Q348" s="4" t="n">
        <f aca="false">Q347+P348</f>
        <v>941166</v>
      </c>
      <c r="R348" s="4" t="n">
        <f aca="false">Q348-MAX(0,MAX($Q$2:Q348))</f>
        <v>0</v>
      </c>
    </row>
    <row r="349" customFormat="false" ht="15" hidden="false" customHeight="false" outlineLevel="0" collapsed="false">
      <c r="A349" s="7" t="n">
        <v>45680</v>
      </c>
      <c r="B349" s="8" t="n">
        <f aca="false">YEAR(A349)</f>
        <v>2025</v>
      </c>
      <c r="C349" s="8" t="n">
        <f aca="false">MONTH(A349)</f>
        <v>1</v>
      </c>
      <c r="D349" s="8" t="s">
        <v>36</v>
      </c>
      <c r="E349" s="9" t="n">
        <v>23128.3</v>
      </c>
      <c r="F349" s="10" t="n">
        <v>16.77</v>
      </c>
      <c r="G349" s="11" t="n">
        <v>114.1</v>
      </c>
      <c r="H349" s="4" t="n">
        <v>1516</v>
      </c>
      <c r="I349" s="8" t="n">
        <v>1</v>
      </c>
      <c r="J349" s="11" t="n">
        <v>112.2</v>
      </c>
      <c r="K349" s="4" t="n">
        <v>1425</v>
      </c>
      <c r="L349" s="8" t="n">
        <v>1</v>
      </c>
      <c r="M349" s="11" t="n">
        <v>107.9</v>
      </c>
      <c r="N349" s="4" t="n">
        <v>663</v>
      </c>
      <c r="O349" s="8" t="n">
        <v>1</v>
      </c>
      <c r="P349" s="4" t="n">
        <f aca="false">H349+K349+N349</f>
        <v>3604</v>
      </c>
      <c r="Q349" s="4" t="n">
        <f aca="false">Q348+P349</f>
        <v>944770</v>
      </c>
      <c r="R349" s="4" t="n">
        <f aca="false">Q349-MAX(0,MAX($Q$2:Q349))</f>
        <v>0</v>
      </c>
    </row>
    <row r="350" customFormat="false" ht="15" hidden="false" customHeight="false" outlineLevel="0" collapsed="false">
      <c r="A350" s="7" t="n">
        <v>45687</v>
      </c>
      <c r="B350" s="8" t="n">
        <f aca="false">YEAR(A350)</f>
        <v>2025</v>
      </c>
      <c r="C350" s="8" t="n">
        <f aca="false">MONTH(A350)</f>
        <v>1</v>
      </c>
      <c r="D350" s="8" t="s">
        <v>36</v>
      </c>
      <c r="E350" s="9" t="n">
        <v>23169.5</v>
      </c>
      <c r="F350" s="10" t="n">
        <v>18.64</v>
      </c>
      <c r="G350" s="11" t="n">
        <v>222.8</v>
      </c>
      <c r="H350" s="4" t="n">
        <v>4674</v>
      </c>
      <c r="I350" s="8" t="n">
        <v>1</v>
      </c>
      <c r="J350" s="11" t="n">
        <v>219.3</v>
      </c>
      <c r="K350" s="4" t="n">
        <v>4426</v>
      </c>
      <c r="L350" s="8" t="n">
        <v>1</v>
      </c>
      <c r="M350" s="11" t="n">
        <v>210.3</v>
      </c>
      <c r="N350" s="4" t="n">
        <v>2983</v>
      </c>
      <c r="O350" s="8" t="n">
        <v>1</v>
      </c>
      <c r="P350" s="4" t="n">
        <f aca="false">H350+K350+N350</f>
        <v>12083</v>
      </c>
      <c r="Q350" s="4" t="n">
        <f aca="false">Q349+P350</f>
        <v>956853</v>
      </c>
      <c r="R350" s="4" t="n">
        <f aca="false">Q350-MAX(0,MAX($Q$2:Q350))</f>
        <v>0</v>
      </c>
    </row>
    <row r="351" customFormat="false" ht="15" hidden="false" customHeight="false" outlineLevel="0" collapsed="false">
      <c r="A351" s="7" t="n">
        <v>45694</v>
      </c>
      <c r="B351" s="8" t="n">
        <f aca="false">YEAR(A351)</f>
        <v>2025</v>
      </c>
      <c r="C351" s="8" t="n">
        <f aca="false">MONTH(A351)</f>
        <v>2</v>
      </c>
      <c r="D351" s="8" t="s">
        <v>36</v>
      </c>
      <c r="E351" s="9" t="n">
        <v>23762</v>
      </c>
      <c r="F351" s="10" t="n">
        <v>14.08</v>
      </c>
      <c r="G351" s="11" t="n">
        <v>137.8</v>
      </c>
      <c r="H351" s="4" t="n">
        <v>3635</v>
      </c>
      <c r="I351" s="8" t="n">
        <v>1</v>
      </c>
      <c r="J351" s="11" t="n">
        <v>134.6</v>
      </c>
      <c r="K351" s="4" t="n">
        <v>3222</v>
      </c>
      <c r="L351" s="8" t="n">
        <v>1</v>
      </c>
      <c r="M351" s="11" t="n">
        <v>128.5</v>
      </c>
      <c r="N351" s="4" t="n">
        <v>2832</v>
      </c>
      <c r="O351" s="8" t="n">
        <v>1</v>
      </c>
      <c r="P351" s="4" t="n">
        <f aca="false">H351+K351+N351</f>
        <v>9689</v>
      </c>
      <c r="Q351" s="4" t="n">
        <f aca="false">Q350+P351</f>
        <v>966542</v>
      </c>
      <c r="R351" s="4" t="n">
        <f aca="false">Q351-MAX(0,MAX($Q$2:Q351))</f>
        <v>0</v>
      </c>
    </row>
    <row r="352" customFormat="false" ht="15" hidden="false" customHeight="false" outlineLevel="0" collapsed="false">
      <c r="A352" s="7" t="n">
        <v>45701</v>
      </c>
      <c r="B352" s="8" t="n">
        <f aca="false">YEAR(A352)</f>
        <v>2025</v>
      </c>
      <c r="C352" s="8" t="n">
        <f aca="false">MONTH(A352)</f>
        <v>2</v>
      </c>
      <c r="D352" s="8" t="s">
        <v>36</v>
      </c>
      <c r="E352" s="9" t="n">
        <v>23055.8</v>
      </c>
      <c r="F352" s="10" t="n">
        <v>14.9</v>
      </c>
      <c r="G352" s="11" t="n">
        <v>166.3</v>
      </c>
      <c r="H352" s="4" t="n">
        <v>-3629</v>
      </c>
      <c r="I352" s="8" t="n">
        <v>2</v>
      </c>
      <c r="J352" s="11" t="n">
        <v>163.5</v>
      </c>
      <c r="K352" s="4" t="n">
        <v>-1571</v>
      </c>
      <c r="L352" s="8" t="n">
        <v>1</v>
      </c>
      <c r="M352" s="11" t="n">
        <v>157</v>
      </c>
      <c r="N352" s="4" t="n">
        <v>2907</v>
      </c>
      <c r="O352" s="8" t="n">
        <v>1</v>
      </c>
      <c r="P352" s="4" t="n">
        <f aca="false">H352+K352+N352</f>
        <v>-2293</v>
      </c>
      <c r="Q352" s="4" t="n">
        <f aca="false">Q351+P352</f>
        <v>964249</v>
      </c>
      <c r="R352" s="4" t="n">
        <f aca="false">Q352-MAX(0,MAX($Q$2:Q352))</f>
        <v>-2293</v>
      </c>
    </row>
    <row r="353" customFormat="false" ht="15" hidden="false" customHeight="false" outlineLevel="0" collapsed="false">
      <c r="A353" s="7" t="n">
        <v>45708</v>
      </c>
      <c r="B353" s="8" t="n">
        <f aca="false">YEAR(A353)</f>
        <v>2025</v>
      </c>
      <c r="C353" s="8" t="n">
        <f aca="false">MONTH(A353)</f>
        <v>2</v>
      </c>
      <c r="D353" s="8" t="s">
        <v>36</v>
      </c>
      <c r="E353" s="9" t="n">
        <v>22821.1</v>
      </c>
      <c r="F353" s="10" t="n">
        <v>15.42</v>
      </c>
      <c r="G353" s="11" t="n">
        <v>161.6</v>
      </c>
      <c r="H353" s="4" t="n">
        <v>3288</v>
      </c>
      <c r="I353" s="8" t="n">
        <v>1</v>
      </c>
      <c r="J353" s="11" t="n">
        <v>159.9</v>
      </c>
      <c r="K353" s="4" t="n">
        <v>-55</v>
      </c>
      <c r="L353" s="8" t="n">
        <v>1</v>
      </c>
      <c r="M353" s="11" t="n">
        <v>153.7</v>
      </c>
      <c r="N353" s="4" t="n">
        <v>5316</v>
      </c>
      <c r="O353" s="8" t="n">
        <v>0</v>
      </c>
      <c r="P353" s="4" t="n">
        <f aca="false">H353+K353+N353</f>
        <v>8549</v>
      </c>
      <c r="Q353" s="4" t="n">
        <f aca="false">Q352+P353</f>
        <v>972798</v>
      </c>
      <c r="R353" s="4" t="n">
        <f aca="false">Q353-MAX(0,MAX($Q$2:Q353))</f>
        <v>0</v>
      </c>
    </row>
    <row r="354" customFormat="false" ht="15" hidden="false" customHeight="false" outlineLevel="0" collapsed="false">
      <c r="A354" s="7" t="n">
        <v>45715</v>
      </c>
      <c r="B354" s="8" t="n">
        <f aca="false">YEAR(A354)</f>
        <v>2025</v>
      </c>
      <c r="C354" s="8" t="n">
        <f aca="false">MONTH(A354)</f>
        <v>2</v>
      </c>
      <c r="D354" s="8" t="s">
        <v>36</v>
      </c>
      <c r="E354" s="9" t="n">
        <v>22569</v>
      </c>
      <c r="F354" s="10" t="n">
        <v>13.72</v>
      </c>
      <c r="G354" s="11" t="n">
        <v>106.3</v>
      </c>
      <c r="H354" s="4" t="n">
        <v>1951</v>
      </c>
      <c r="I354" s="8" t="n">
        <v>1</v>
      </c>
      <c r="J354" s="11" t="n">
        <v>105.2</v>
      </c>
      <c r="K354" s="4" t="n">
        <v>2397</v>
      </c>
      <c r="L354" s="8" t="n">
        <v>1</v>
      </c>
      <c r="M354" s="11" t="n">
        <v>99.7</v>
      </c>
      <c r="N354" s="4" t="n">
        <v>4803</v>
      </c>
      <c r="O354" s="8" t="n">
        <v>0</v>
      </c>
      <c r="P354" s="4" t="n">
        <f aca="false">H354+K354+N354</f>
        <v>9151</v>
      </c>
      <c r="Q354" s="4" t="n">
        <f aca="false">Q353+P354</f>
        <v>981949</v>
      </c>
      <c r="R354" s="4" t="n">
        <f aca="false">Q354-MAX(0,MAX($Q$2:Q354))</f>
        <v>0</v>
      </c>
    </row>
    <row r="355" customFormat="false" ht="15" hidden="false" customHeight="false" outlineLevel="0" collapsed="false">
      <c r="A355" s="7" t="n">
        <v>45722</v>
      </c>
      <c r="B355" s="8" t="n">
        <f aca="false">YEAR(A355)</f>
        <v>2025</v>
      </c>
      <c r="C355" s="8" t="n">
        <f aca="false">MONTH(A355)</f>
        <v>3</v>
      </c>
      <c r="D355" s="8" t="s">
        <v>36</v>
      </c>
      <c r="E355" s="9" t="n">
        <v>22476.4</v>
      </c>
      <c r="F355" s="10" t="n">
        <v>13.67</v>
      </c>
      <c r="G355" s="11" t="n">
        <v>129.6</v>
      </c>
      <c r="H355" s="4" t="n">
        <v>-2876</v>
      </c>
      <c r="I355" s="8" t="n">
        <v>2</v>
      </c>
      <c r="J355" s="11" t="n">
        <v>126.9</v>
      </c>
      <c r="K355" s="4" t="n">
        <v>-2823</v>
      </c>
      <c r="L355" s="8" t="n">
        <v>2</v>
      </c>
      <c r="M355" s="11" t="n">
        <v>122.8</v>
      </c>
      <c r="N355" s="4" t="n">
        <v>1341</v>
      </c>
      <c r="O355" s="8" t="n">
        <v>1</v>
      </c>
      <c r="P355" s="4" t="n">
        <f aca="false">H355+K355+N355</f>
        <v>-4358</v>
      </c>
      <c r="Q355" s="4" t="n">
        <f aca="false">Q354+P355</f>
        <v>977591</v>
      </c>
      <c r="R355" s="4" t="n">
        <f aca="false">Q355-MAX(0,MAX($Q$2:Q355))</f>
        <v>-4358</v>
      </c>
    </row>
    <row r="356" customFormat="false" ht="15" hidden="false" customHeight="false" outlineLevel="0" collapsed="false">
      <c r="A356" s="7" t="n">
        <v>45729</v>
      </c>
      <c r="B356" s="8" t="n">
        <f aca="false">YEAR(A356)</f>
        <v>2025</v>
      </c>
      <c r="C356" s="8" t="n">
        <f aca="false">MONTH(A356)</f>
        <v>3</v>
      </c>
      <c r="D356" s="8" t="s">
        <v>36</v>
      </c>
      <c r="E356" s="9" t="n">
        <v>22541.5</v>
      </c>
      <c r="F356" s="10" t="n">
        <v>13.69</v>
      </c>
      <c r="G356" s="11" t="n">
        <v>124.3</v>
      </c>
      <c r="H356" s="4" t="n">
        <v>-2769</v>
      </c>
      <c r="I356" s="8" t="n">
        <v>2</v>
      </c>
      <c r="J356" s="11" t="n">
        <v>123</v>
      </c>
      <c r="K356" s="4" t="n">
        <v>-2741</v>
      </c>
      <c r="L356" s="8" t="n">
        <v>2</v>
      </c>
      <c r="M356" s="11" t="n">
        <v>115.9</v>
      </c>
      <c r="N356" s="4" t="n">
        <v>2107</v>
      </c>
      <c r="O356" s="8" t="n">
        <v>1</v>
      </c>
      <c r="P356" s="4" t="n">
        <f aca="false">H356+K356+N356</f>
        <v>-3403</v>
      </c>
      <c r="Q356" s="4" t="n">
        <f aca="false">Q355+P356</f>
        <v>974188</v>
      </c>
      <c r="R356" s="4" t="n">
        <f aca="false">Q356-MAX(0,MAX($Q$2:Q356))</f>
        <v>-7761</v>
      </c>
    </row>
    <row r="357" customFormat="false" ht="15" hidden="false" customHeight="false" outlineLevel="0" collapsed="false">
      <c r="A357" s="7" t="n">
        <v>45736</v>
      </c>
      <c r="B357" s="8" t="n">
        <f aca="false">YEAR(A357)</f>
        <v>2025</v>
      </c>
      <c r="C357" s="8" t="n">
        <f aca="false">MONTH(A357)</f>
        <v>3</v>
      </c>
      <c r="D357" s="8" t="s">
        <v>36</v>
      </c>
      <c r="E357" s="9" t="n">
        <v>23036.6</v>
      </c>
      <c r="F357" s="10" t="n">
        <v>13.3</v>
      </c>
      <c r="G357" s="11" t="n">
        <v>125.3</v>
      </c>
      <c r="H357" s="4" t="n">
        <v>-2790</v>
      </c>
      <c r="I357" s="8" t="n">
        <v>2</v>
      </c>
      <c r="J357" s="11" t="n">
        <v>122.7</v>
      </c>
      <c r="K357" s="4" t="n">
        <v>-2737</v>
      </c>
      <c r="L357" s="8" t="n">
        <v>2</v>
      </c>
      <c r="M357" s="11" t="n">
        <v>116.3</v>
      </c>
      <c r="N357" s="4" t="n">
        <v>-2604</v>
      </c>
      <c r="O357" s="8" t="n">
        <v>2</v>
      </c>
      <c r="P357" s="4" t="n">
        <f aca="false">H357+K357+N357</f>
        <v>-8131</v>
      </c>
      <c r="Q357" s="4" t="n">
        <f aca="false">Q356+P357</f>
        <v>966057</v>
      </c>
      <c r="R357" s="4" t="n">
        <f aca="false">Q357-MAX(0,MAX($Q$2:Q357))</f>
        <v>-15892</v>
      </c>
    </row>
    <row r="358" customFormat="false" ht="15" hidden="false" customHeight="false" outlineLevel="0" collapsed="false">
      <c r="A358" s="7" t="n">
        <v>45743</v>
      </c>
      <c r="B358" s="8" t="n">
        <f aca="false">YEAR(A358)</f>
        <v>2025</v>
      </c>
      <c r="C358" s="8" t="n">
        <f aca="false">MONTH(A358)</f>
        <v>3</v>
      </c>
      <c r="D358" s="8" t="s">
        <v>36</v>
      </c>
      <c r="E358" s="9" t="n">
        <v>23434</v>
      </c>
      <c r="F358" s="10" t="n">
        <v>13.47</v>
      </c>
      <c r="G358" s="11" t="n">
        <v>147.9</v>
      </c>
      <c r="H358" s="4" t="n">
        <v>2320</v>
      </c>
      <c r="I358" s="8" t="n">
        <v>1</v>
      </c>
      <c r="J358" s="11" t="n">
        <v>145.6</v>
      </c>
      <c r="K358" s="4" t="n">
        <v>3617</v>
      </c>
      <c r="L358" s="8" t="n">
        <v>1</v>
      </c>
      <c r="M358" s="11" t="n">
        <v>139</v>
      </c>
      <c r="N358" s="4" t="n">
        <v>6779</v>
      </c>
      <c r="O358" s="8" t="n">
        <v>0</v>
      </c>
      <c r="P358" s="4" t="n">
        <f aca="false">H358+K358+N358</f>
        <v>12716</v>
      </c>
      <c r="Q358" s="4" t="n">
        <f aca="false">Q357+P358</f>
        <v>978773</v>
      </c>
      <c r="R358" s="4" t="n">
        <f aca="false">Q358-MAX(0,MAX($Q$2:Q358))</f>
        <v>-3176</v>
      </c>
    </row>
    <row r="359" customFormat="false" ht="15" hidden="false" customHeight="false" outlineLevel="0" collapsed="false">
      <c r="A359" s="7" t="n">
        <v>45750</v>
      </c>
      <c r="B359" s="8" t="n">
        <f aca="false">YEAR(A359)</f>
        <v>2025</v>
      </c>
      <c r="C359" s="8" t="n">
        <f aca="false">MONTH(A359)</f>
        <v>4</v>
      </c>
      <c r="D359" s="8" t="s">
        <v>36</v>
      </c>
      <c r="E359" s="9" t="n">
        <v>23150.3</v>
      </c>
      <c r="F359" s="10" t="n">
        <v>13.72</v>
      </c>
      <c r="G359" s="11" t="n">
        <v>146</v>
      </c>
      <c r="H359" s="4" t="n">
        <v>1983</v>
      </c>
      <c r="I359" s="8" t="n">
        <v>1</v>
      </c>
      <c r="J359" s="11" t="n">
        <v>144.5</v>
      </c>
      <c r="K359" s="4" t="n">
        <v>2866</v>
      </c>
      <c r="L359" s="8" t="n">
        <v>1</v>
      </c>
      <c r="M359" s="11" t="n">
        <v>137.2</v>
      </c>
      <c r="N359" s="4" t="n">
        <v>1745</v>
      </c>
      <c r="O359" s="8" t="n">
        <v>1</v>
      </c>
      <c r="P359" s="4" t="n">
        <f aca="false">H359+K359+N359</f>
        <v>6594</v>
      </c>
      <c r="Q359" s="4" t="n">
        <f aca="false">Q358+P359</f>
        <v>985367</v>
      </c>
      <c r="R359" s="4" t="n">
        <f aca="false">Q359-MAX(0,MAX($Q$2:Q359))</f>
        <v>0</v>
      </c>
    </row>
    <row r="360" customFormat="false" ht="15" hidden="false" customHeight="false" outlineLevel="0" collapsed="false">
      <c r="A360" s="7" t="n">
        <v>45756</v>
      </c>
      <c r="B360" s="8" t="n">
        <f aca="false">YEAR(A360)</f>
        <v>2025</v>
      </c>
      <c r="C360" s="8" t="n">
        <f aca="false">MONTH(A360)</f>
        <v>4</v>
      </c>
      <c r="D360" s="8" t="s">
        <v>37</v>
      </c>
      <c r="E360" s="9" t="n">
        <v>22460.3</v>
      </c>
      <c r="F360" s="10" t="n">
        <v>20.44</v>
      </c>
      <c r="G360" s="11" t="n">
        <v>318.4</v>
      </c>
      <c r="H360" s="4" t="n">
        <v>15572</v>
      </c>
      <c r="I360" s="8" t="n">
        <v>0</v>
      </c>
      <c r="J360" s="11" t="n">
        <v>312.2</v>
      </c>
      <c r="K360" s="4" t="n">
        <v>15869</v>
      </c>
      <c r="L360" s="8" t="n">
        <v>0</v>
      </c>
      <c r="M360" s="11" t="n">
        <v>299.1</v>
      </c>
      <c r="N360" s="4" t="n">
        <v>14324</v>
      </c>
      <c r="O360" s="8" t="n">
        <v>0</v>
      </c>
      <c r="P360" s="4" t="n">
        <f aca="false">H360+K360+N360</f>
        <v>45765</v>
      </c>
      <c r="Q360" s="4" t="n">
        <f aca="false">Q359+P360</f>
        <v>1031132</v>
      </c>
      <c r="R360" s="4" t="n">
        <f aca="false">Q360-MAX(0,MAX($Q$2:Q360))</f>
        <v>0</v>
      </c>
    </row>
    <row r="361" customFormat="false" ht="15" hidden="false" customHeight="false" outlineLevel="0" collapsed="false">
      <c r="A361" s="7" t="n">
        <v>45764</v>
      </c>
      <c r="B361" s="8" t="n">
        <f aca="false">YEAR(A361)</f>
        <v>2025</v>
      </c>
      <c r="C361" s="8" t="n">
        <f aca="false">MONTH(A361)</f>
        <v>4</v>
      </c>
      <c r="D361" s="8" t="s">
        <v>36</v>
      </c>
      <c r="E361" s="9" t="n">
        <v>23401.8</v>
      </c>
      <c r="F361" s="10" t="n">
        <v>15.87</v>
      </c>
      <c r="G361" s="11" t="n">
        <v>146.3</v>
      </c>
      <c r="H361" s="4" t="n">
        <v>3794</v>
      </c>
      <c r="I361" s="8" t="n">
        <v>1</v>
      </c>
      <c r="J361" s="11" t="n">
        <v>144.3</v>
      </c>
      <c r="K361" s="4" t="n">
        <v>1891</v>
      </c>
      <c r="L361" s="8" t="n">
        <v>1</v>
      </c>
      <c r="M361" s="11" t="n">
        <v>137.3</v>
      </c>
      <c r="N361" s="4" t="n">
        <v>-3034</v>
      </c>
      <c r="O361" s="8" t="n">
        <v>2</v>
      </c>
      <c r="P361" s="4" t="n">
        <f aca="false">H361+K361+N361</f>
        <v>2651</v>
      </c>
      <c r="Q361" s="4" t="n">
        <f aca="false">Q360+P361</f>
        <v>1033783</v>
      </c>
      <c r="R361" s="4" t="n">
        <f aca="false">Q361-MAX(0,MAX($Q$2:Q361))</f>
        <v>0</v>
      </c>
    </row>
    <row r="362" customFormat="false" ht="15" hidden="false" customHeight="false" outlineLevel="0" collapsed="false">
      <c r="A362" s="7" t="n">
        <v>45771</v>
      </c>
      <c r="B362" s="8" t="n">
        <f aca="false">YEAR(A362)</f>
        <v>2025</v>
      </c>
      <c r="C362" s="8" t="n">
        <f aca="false">MONTH(A362)</f>
        <v>4</v>
      </c>
      <c r="D362" s="8" t="s">
        <v>36</v>
      </c>
      <c r="E362" s="9" t="n">
        <v>24277.9</v>
      </c>
      <c r="F362" s="10" t="n">
        <v>15.96</v>
      </c>
      <c r="G362" s="11" t="n">
        <v>111.2</v>
      </c>
      <c r="H362" s="4" t="n">
        <v>-2501</v>
      </c>
      <c r="I362" s="8" t="n">
        <v>2</v>
      </c>
      <c r="J362" s="11" t="n">
        <v>109.1</v>
      </c>
      <c r="K362" s="4" t="n">
        <v>3282</v>
      </c>
      <c r="L362" s="8" t="n">
        <v>1</v>
      </c>
      <c r="M362" s="11" t="n">
        <v>103.5</v>
      </c>
      <c r="N362" s="4" t="n">
        <v>547</v>
      </c>
      <c r="O362" s="8" t="n">
        <v>1</v>
      </c>
      <c r="P362" s="4" t="n">
        <f aca="false">H362+K362+N362</f>
        <v>1328</v>
      </c>
      <c r="Q362" s="4" t="n">
        <f aca="false">Q361+P362</f>
        <v>1035111</v>
      </c>
      <c r="R362" s="4" t="n">
        <f aca="false">Q362-MAX(0,MAX($Q$2:Q362))</f>
        <v>0</v>
      </c>
    </row>
    <row r="363" customFormat="false" ht="15" hidden="false" customHeight="false" outlineLevel="0" collapsed="false">
      <c r="A363" s="7" t="n">
        <v>45777</v>
      </c>
      <c r="B363" s="8" t="n">
        <f aca="false">YEAR(A363)</f>
        <v>2025</v>
      </c>
      <c r="C363" s="8" t="n">
        <f aca="false">MONTH(A363)</f>
        <v>4</v>
      </c>
      <c r="D363" s="8" t="s">
        <v>37</v>
      </c>
      <c r="E363" s="9" t="n">
        <v>24342</v>
      </c>
      <c r="F363" s="10" t="n">
        <v>17.37</v>
      </c>
      <c r="G363" s="11" t="n">
        <v>107.1</v>
      </c>
      <c r="H363" s="4" t="n">
        <v>-2417</v>
      </c>
      <c r="I363" s="8" t="n">
        <v>2</v>
      </c>
      <c r="J363" s="11" t="n">
        <v>104.5</v>
      </c>
      <c r="K363" s="4" t="n">
        <v>-2364</v>
      </c>
      <c r="L363" s="8" t="n">
        <v>2</v>
      </c>
      <c r="M363" s="11" t="n">
        <v>100.2</v>
      </c>
      <c r="N363" s="4" t="n">
        <v>1723</v>
      </c>
      <c r="O363" s="8" t="n">
        <v>1</v>
      </c>
      <c r="P363" s="4" t="n">
        <f aca="false">H363+K363+N363</f>
        <v>-3058</v>
      </c>
      <c r="Q363" s="4" t="n">
        <f aca="false">Q362+P363</f>
        <v>1032053</v>
      </c>
      <c r="R363" s="4" t="n">
        <f aca="false">Q363-MAX(0,MAX($Q$2:Q363))</f>
        <v>-3058</v>
      </c>
    </row>
    <row r="364" customFormat="false" ht="15" hidden="false" customHeight="false" outlineLevel="0" collapsed="false">
      <c r="A364" s="7" t="n">
        <v>45785</v>
      </c>
      <c r="B364" s="8" t="n">
        <f aca="false">YEAR(A364)</f>
        <v>2025</v>
      </c>
      <c r="C364" s="8" t="n">
        <f aca="false">MONTH(A364)</f>
        <v>5</v>
      </c>
      <c r="D364" s="8" t="s">
        <v>36</v>
      </c>
      <c r="E364" s="9" t="n">
        <v>24431.5</v>
      </c>
      <c r="F364" s="10" t="n">
        <v>19.06</v>
      </c>
      <c r="G364" s="11" t="n">
        <v>121.5</v>
      </c>
      <c r="H364" s="4" t="n">
        <v>2067</v>
      </c>
      <c r="I364" s="8" t="n">
        <v>1</v>
      </c>
      <c r="J364" s="11" t="n">
        <v>119.4</v>
      </c>
      <c r="K364" s="4" t="n">
        <v>1915</v>
      </c>
      <c r="L364" s="8" t="n">
        <v>1</v>
      </c>
      <c r="M364" s="11" t="n">
        <v>114</v>
      </c>
      <c r="N364" s="4" t="n">
        <v>2522</v>
      </c>
      <c r="O364" s="8" t="n">
        <v>1</v>
      </c>
      <c r="P364" s="4" t="n">
        <f aca="false">H364+K364+N364</f>
        <v>6504</v>
      </c>
      <c r="Q364" s="4" t="n">
        <f aca="false">Q363+P364</f>
        <v>1038557</v>
      </c>
      <c r="R364" s="4" t="n">
        <f aca="false">Q364-MAX(0,MAX($Q$2:Q364))</f>
        <v>0</v>
      </c>
    </row>
    <row r="365" customFormat="false" ht="15" hidden="false" customHeight="false" outlineLevel="0" collapsed="false">
      <c r="A365" s="7" t="n">
        <v>45792</v>
      </c>
      <c r="B365" s="8" t="n">
        <f aca="false">YEAR(A365)</f>
        <v>2025</v>
      </c>
      <c r="C365" s="8" t="n">
        <f aca="false">MONTH(A365)</f>
        <v>5</v>
      </c>
      <c r="D365" s="8" t="s">
        <v>36</v>
      </c>
      <c r="E365" s="9" t="n">
        <v>24694.4</v>
      </c>
      <c r="F365" s="10" t="n">
        <v>17.23</v>
      </c>
      <c r="G365" s="11" t="n">
        <v>169.8</v>
      </c>
      <c r="H365" s="4" t="n">
        <v>-3700</v>
      </c>
      <c r="I365" s="8" t="n">
        <v>2</v>
      </c>
      <c r="J365" s="11" t="n">
        <v>165.8</v>
      </c>
      <c r="K365" s="4" t="n">
        <v>-3618</v>
      </c>
      <c r="L365" s="8" t="n">
        <v>2</v>
      </c>
      <c r="M365" s="11" t="n">
        <v>158.3</v>
      </c>
      <c r="N365" s="4" t="n">
        <v>3381</v>
      </c>
      <c r="O365" s="8" t="n">
        <v>1</v>
      </c>
      <c r="P365" s="4" t="n">
        <f aca="false">H365+K365+N365</f>
        <v>-3937</v>
      </c>
      <c r="Q365" s="4" t="n">
        <f aca="false">Q364+P365</f>
        <v>1034620</v>
      </c>
      <c r="R365" s="4" t="n">
        <f aca="false">Q365-MAX(0,MAX($Q$2:Q365))</f>
        <v>-3937</v>
      </c>
    </row>
    <row r="366" customFormat="false" ht="15" hidden="false" customHeight="false" outlineLevel="0" collapsed="false">
      <c r="A366" s="7" t="n">
        <v>45799</v>
      </c>
      <c r="B366" s="8" t="n">
        <f aca="false">YEAR(A366)</f>
        <v>2025</v>
      </c>
      <c r="C366" s="8" t="n">
        <f aca="false">MONTH(A366)</f>
        <v>5</v>
      </c>
      <c r="D366" s="8" t="s">
        <v>36</v>
      </c>
      <c r="E366" s="9" t="n">
        <v>24734</v>
      </c>
      <c r="F366" s="10" t="n">
        <v>17.55</v>
      </c>
      <c r="G366" s="11" t="n">
        <v>226.4</v>
      </c>
      <c r="H366" s="4" t="n">
        <v>4281</v>
      </c>
      <c r="I366" s="8" t="n">
        <v>1</v>
      </c>
      <c r="J366" s="11" t="n">
        <v>220.8</v>
      </c>
      <c r="K366" s="4" t="n">
        <v>4168</v>
      </c>
      <c r="L366" s="8" t="n">
        <v>1</v>
      </c>
      <c r="M366" s="11" t="n">
        <v>211.9</v>
      </c>
      <c r="N366" s="4" t="n">
        <v>3276</v>
      </c>
      <c r="O366" s="8" t="n">
        <v>1</v>
      </c>
      <c r="P366" s="4" t="n">
        <f aca="false">H366+K366+N366</f>
        <v>11725</v>
      </c>
      <c r="Q366" s="4" t="n">
        <f aca="false">Q365+P366</f>
        <v>1046345</v>
      </c>
      <c r="R366" s="4" t="n">
        <f aca="false">Q366-MAX(0,MAX($Q$2:Q366))</f>
        <v>0</v>
      </c>
    </row>
    <row r="367" customFormat="false" ht="15" hidden="false" customHeight="false" outlineLevel="0" collapsed="false">
      <c r="A367" s="7" t="n">
        <v>45806</v>
      </c>
      <c r="B367" s="8" t="n">
        <f aca="false">YEAR(A367)</f>
        <v>2025</v>
      </c>
      <c r="C367" s="8" t="n">
        <f aca="false">MONTH(A367)</f>
        <v>5</v>
      </c>
      <c r="D367" s="8" t="s">
        <v>36</v>
      </c>
      <c r="E367" s="9" t="n">
        <v>24825.1</v>
      </c>
      <c r="F367" s="10" t="n">
        <v>18.02</v>
      </c>
      <c r="G367" s="11" t="n">
        <v>223.6</v>
      </c>
      <c r="H367" s="4" t="n">
        <v>4355</v>
      </c>
      <c r="I367" s="8" t="n">
        <v>1</v>
      </c>
      <c r="J367" s="11" t="n">
        <v>218.2</v>
      </c>
      <c r="K367" s="4" t="n">
        <v>1330</v>
      </c>
      <c r="L367" s="8" t="n">
        <v>1</v>
      </c>
      <c r="M367" s="11" t="n">
        <v>209.7</v>
      </c>
      <c r="N367" s="4" t="n">
        <v>1805</v>
      </c>
      <c r="O367" s="8" t="n">
        <v>1</v>
      </c>
      <c r="P367" s="4" t="n">
        <f aca="false">H367+K367+N367</f>
        <v>7490</v>
      </c>
      <c r="Q367" s="4" t="n">
        <f aca="false">Q366+P367</f>
        <v>1053835</v>
      </c>
      <c r="R367" s="4" t="n">
        <f aca="false">Q367-MAX(0,MAX($Q$2:Q367))</f>
        <v>0</v>
      </c>
    </row>
    <row r="368" customFormat="false" ht="15" hidden="false" customHeight="false" outlineLevel="0" collapsed="false">
      <c r="A368" s="7" t="n">
        <v>45813</v>
      </c>
      <c r="B368" s="8" t="n">
        <f aca="false">YEAR(A368)</f>
        <v>2025</v>
      </c>
      <c r="C368" s="8" t="n">
        <f aca="false">MONTH(A368)</f>
        <v>6</v>
      </c>
      <c r="D368" s="8" t="s">
        <v>36</v>
      </c>
      <c r="E368" s="9" t="n">
        <v>24691.2</v>
      </c>
      <c r="F368" s="10" t="n">
        <v>15.75</v>
      </c>
      <c r="G368" s="11" t="n">
        <v>162.9</v>
      </c>
      <c r="H368" s="4" t="n">
        <v>3369</v>
      </c>
      <c r="I368" s="8" t="n">
        <v>1</v>
      </c>
      <c r="J368" s="11" t="n">
        <v>160.7</v>
      </c>
      <c r="K368" s="4" t="n">
        <v>2664</v>
      </c>
      <c r="L368" s="8" t="n">
        <v>1</v>
      </c>
      <c r="M368" s="11" t="n">
        <v>153.8</v>
      </c>
      <c r="N368" s="4" t="n">
        <v>-3372</v>
      </c>
      <c r="O368" s="8" t="n">
        <v>2</v>
      </c>
      <c r="P368" s="4" t="n">
        <f aca="false">H368+K368+N368</f>
        <v>2661</v>
      </c>
      <c r="Q368" s="4" t="n">
        <f aca="false">Q367+P368</f>
        <v>1056496</v>
      </c>
      <c r="R368" s="4" t="n">
        <f aca="false">Q368-MAX(0,MAX($Q$2:Q368))</f>
        <v>0</v>
      </c>
    </row>
    <row r="369" customFormat="false" ht="15" hidden="false" customHeight="false" outlineLevel="0" collapsed="false">
      <c r="A369" s="7" t="n">
        <v>45820</v>
      </c>
      <c r="B369" s="8" t="n">
        <f aca="false">YEAR(A369)</f>
        <v>2025</v>
      </c>
      <c r="C369" s="8" t="n">
        <f aca="false">MONTH(A369)</f>
        <v>6</v>
      </c>
      <c r="D369" s="8" t="s">
        <v>36</v>
      </c>
      <c r="E369" s="9" t="n">
        <v>25164.4</v>
      </c>
      <c r="F369" s="10" t="n">
        <v>13.67</v>
      </c>
      <c r="G369" s="11" t="n">
        <v>141.8</v>
      </c>
      <c r="H369" s="4" t="n">
        <v>3413</v>
      </c>
      <c r="I369" s="8" t="n">
        <v>1</v>
      </c>
      <c r="J369" s="11" t="n">
        <v>139.3</v>
      </c>
      <c r="K369" s="4" t="n">
        <v>2635</v>
      </c>
      <c r="L369" s="8" t="n">
        <v>1</v>
      </c>
      <c r="M369" s="11" t="n">
        <v>133.4</v>
      </c>
      <c r="N369" s="4" t="n">
        <v>2030</v>
      </c>
      <c r="O369" s="8" t="n">
        <v>1</v>
      </c>
      <c r="P369" s="4" t="n">
        <f aca="false">H369+K369+N369</f>
        <v>8078</v>
      </c>
      <c r="Q369" s="4" t="n">
        <f aca="false">Q368+P369</f>
        <v>1064574</v>
      </c>
      <c r="R369" s="4" t="n">
        <f aca="false">Q369-MAX(0,MAX($Q$2:Q369))</f>
        <v>0</v>
      </c>
    </row>
    <row r="370" customFormat="false" ht="15" hidden="false" customHeight="false" outlineLevel="0" collapsed="false">
      <c r="A370" s="7" t="n">
        <v>45827</v>
      </c>
      <c r="B370" s="8" t="n">
        <f aca="false">YEAR(A370)</f>
        <v>2025</v>
      </c>
      <c r="C370" s="8" t="n">
        <f aca="false">MONTH(A370)</f>
        <v>6</v>
      </c>
      <c r="D370" s="8" t="s">
        <v>36</v>
      </c>
      <c r="E370" s="9" t="n">
        <v>24803.2</v>
      </c>
      <c r="F370" s="10" t="n">
        <v>14.28</v>
      </c>
      <c r="G370" s="11" t="n">
        <v>114.2</v>
      </c>
      <c r="H370" s="4" t="n">
        <v>1898</v>
      </c>
      <c r="I370" s="8" t="n">
        <v>1</v>
      </c>
      <c r="J370" s="11" t="n">
        <v>112.6</v>
      </c>
      <c r="K370" s="4" t="n">
        <v>-2529</v>
      </c>
      <c r="L370" s="8" t="n">
        <v>2</v>
      </c>
      <c r="M370" s="11" t="n">
        <v>109</v>
      </c>
      <c r="N370" s="4" t="n">
        <v>5300</v>
      </c>
      <c r="O370" s="8" t="n">
        <v>0</v>
      </c>
      <c r="P370" s="4" t="n">
        <f aca="false">H370+K370+N370</f>
        <v>4669</v>
      </c>
      <c r="Q370" s="4" t="n">
        <f aca="false">Q369+P370</f>
        <v>1069243</v>
      </c>
      <c r="R370" s="4" t="n">
        <f aca="false">Q370-MAX(0,MAX($Q$2:Q370))</f>
        <v>0</v>
      </c>
    </row>
    <row r="371" customFormat="false" ht="15" hidden="false" customHeight="false" outlineLevel="0" collapsed="false">
      <c r="A371" s="7" t="n">
        <v>45834</v>
      </c>
      <c r="B371" s="8" t="n">
        <f aca="false">YEAR(A371)</f>
        <v>2025</v>
      </c>
      <c r="C371" s="8" t="n">
        <f aca="false">MONTH(A371)</f>
        <v>6</v>
      </c>
      <c r="D371" s="8" t="s">
        <v>36</v>
      </c>
      <c r="E371" s="9" t="n">
        <v>25269</v>
      </c>
      <c r="F371" s="10" t="n">
        <v>12.96</v>
      </c>
      <c r="G371" s="11" t="n">
        <v>127.5</v>
      </c>
      <c r="H371" s="4" t="n">
        <v>1378</v>
      </c>
      <c r="I371" s="8" t="n">
        <v>1</v>
      </c>
      <c r="J371" s="11" t="n">
        <v>125.5</v>
      </c>
      <c r="K371" s="4" t="n">
        <v>-2794</v>
      </c>
      <c r="L371" s="8" t="n">
        <v>2</v>
      </c>
      <c r="M371" s="11" t="n">
        <v>120</v>
      </c>
      <c r="N371" s="4" t="n">
        <v>-2680</v>
      </c>
      <c r="O371" s="8" t="n">
        <v>2</v>
      </c>
      <c r="P371" s="4" t="n">
        <f aca="false">H371+K371+N371</f>
        <v>-4096</v>
      </c>
      <c r="Q371" s="4" t="n">
        <f aca="false">Q370+P371</f>
        <v>1065147</v>
      </c>
      <c r="R371" s="4" t="n">
        <f aca="false">Q371-MAX(0,MAX($Q$2:Q371))</f>
        <v>-4096</v>
      </c>
    </row>
    <row r="372" customFormat="false" ht="15" hidden="false" customHeight="false" outlineLevel="0" collapsed="false">
      <c r="A372" s="7" t="n">
        <v>45841</v>
      </c>
      <c r="B372" s="8" t="n">
        <f aca="false">YEAR(A372)</f>
        <v>2025</v>
      </c>
      <c r="C372" s="8" t="n">
        <f aca="false">MONTH(A372)</f>
        <v>7</v>
      </c>
      <c r="D372" s="8" t="s">
        <v>36</v>
      </c>
      <c r="E372" s="9" t="n">
        <v>25505.1</v>
      </c>
      <c r="F372" s="10" t="n">
        <v>12.45</v>
      </c>
      <c r="G372" s="11" t="n">
        <v>122.8</v>
      </c>
      <c r="H372" s="4" t="n">
        <v>-2739</v>
      </c>
      <c r="I372" s="8" t="n">
        <v>2</v>
      </c>
      <c r="J372" s="11" t="n">
        <v>120.1</v>
      </c>
      <c r="K372" s="4" t="n">
        <v>-2682</v>
      </c>
      <c r="L372" s="8" t="n">
        <v>2</v>
      </c>
      <c r="M372" s="11" t="n">
        <v>114.4</v>
      </c>
      <c r="N372" s="4" t="n">
        <v>2126</v>
      </c>
      <c r="O372" s="8" t="n">
        <v>1</v>
      </c>
      <c r="P372" s="4" t="n">
        <f aca="false">H372+K372+N372</f>
        <v>-3295</v>
      </c>
      <c r="Q372" s="4" t="n">
        <f aca="false">Q371+P372</f>
        <v>1061852</v>
      </c>
      <c r="R372" s="4" t="n">
        <f aca="false">Q372-MAX(0,MAX($Q$2:Q372))</f>
        <v>-7391</v>
      </c>
    </row>
    <row r="373" customFormat="false" ht="15" hidden="false" customHeight="false" outlineLevel="0" collapsed="false">
      <c r="A373" s="7" t="n">
        <v>45848</v>
      </c>
      <c r="B373" s="8" t="n">
        <f aca="false">YEAR(A373)</f>
        <v>2025</v>
      </c>
      <c r="C373" s="8" t="n">
        <f aca="false">MONTH(A373)</f>
        <v>7</v>
      </c>
      <c r="D373" s="8" t="s">
        <v>36</v>
      </c>
      <c r="E373" s="9" t="n">
        <v>25511.6</v>
      </c>
      <c r="F373" s="10" t="n">
        <v>11.94</v>
      </c>
      <c r="G373" s="11" t="n">
        <v>115.6</v>
      </c>
      <c r="H373" s="4" t="n">
        <v>2631</v>
      </c>
      <c r="I373" s="8" t="n">
        <v>1</v>
      </c>
      <c r="J373" s="11" t="n">
        <v>113.4</v>
      </c>
      <c r="K373" s="4" t="n">
        <v>2355</v>
      </c>
      <c r="L373" s="8" t="n">
        <v>1</v>
      </c>
      <c r="M373" s="11" t="n">
        <v>110.5</v>
      </c>
      <c r="N373" s="4" t="n">
        <v>3300</v>
      </c>
      <c r="O373" s="8" t="n">
        <v>1</v>
      </c>
      <c r="P373" s="4" t="n">
        <f aca="false">H373+K373+N373</f>
        <v>8286</v>
      </c>
      <c r="Q373" s="4" t="n">
        <f aca="false">Q372+P373</f>
        <v>1070138</v>
      </c>
      <c r="R373" s="4" t="n">
        <f aca="false">Q373-MAX(0,MAX($Q$2:Q373))</f>
        <v>0</v>
      </c>
    </row>
    <row r="374" customFormat="false" ht="15" hidden="false" customHeight="false" outlineLevel="0" collapsed="false">
      <c r="A374" s="7" t="n">
        <v>45855</v>
      </c>
      <c r="B374" s="8" t="n">
        <f aca="false">YEAR(A374)</f>
        <v>2025</v>
      </c>
      <c r="C374" s="8" t="n">
        <f aca="false">MONTH(A374)</f>
        <v>7</v>
      </c>
      <c r="D374" s="8" t="s">
        <v>36</v>
      </c>
      <c r="E374" s="9" t="n">
        <v>25230.8</v>
      </c>
      <c r="F374" s="10" t="n">
        <v>11.24</v>
      </c>
      <c r="G374" s="11" t="n">
        <v>95.1</v>
      </c>
      <c r="H374" s="4" t="n">
        <v>2475</v>
      </c>
      <c r="I374" s="8" t="n">
        <v>1</v>
      </c>
      <c r="J374" s="11" t="n">
        <v>92.8</v>
      </c>
      <c r="K374" s="4" t="n">
        <v>1743</v>
      </c>
      <c r="L374" s="8" t="n">
        <v>1</v>
      </c>
      <c r="M374" s="11" t="n">
        <v>88.9</v>
      </c>
      <c r="N374" s="4" t="n">
        <v>1462</v>
      </c>
      <c r="O374" s="8" t="n">
        <v>1</v>
      </c>
      <c r="P374" s="4" t="n">
        <f aca="false">H374+K374+N374</f>
        <v>5680</v>
      </c>
      <c r="Q374" s="4" t="n">
        <f aca="false">Q373+P374</f>
        <v>1075818</v>
      </c>
      <c r="R374" s="4" t="n">
        <f aca="false">Q374-MAX(0,MAX($Q$2:Q374))</f>
        <v>0</v>
      </c>
    </row>
    <row r="375" customFormat="false" ht="15" hidden="false" customHeight="false" outlineLevel="0" collapsed="false">
      <c r="A375" s="7" t="n">
        <v>45862</v>
      </c>
      <c r="B375" s="8" t="n">
        <f aca="false">YEAR(A375)</f>
        <v>2025</v>
      </c>
      <c r="C375" s="8" t="n">
        <f aca="false">MONTH(A375)</f>
        <v>7</v>
      </c>
      <c r="D375" s="8" t="s">
        <v>36</v>
      </c>
      <c r="E375" s="9" t="n">
        <v>25243.3</v>
      </c>
      <c r="F375" s="10" t="n">
        <v>10.52</v>
      </c>
      <c r="G375" s="11" t="n">
        <v>91.5</v>
      </c>
      <c r="H375" s="4" t="n">
        <v>2409</v>
      </c>
      <c r="I375" s="8" t="n">
        <v>1</v>
      </c>
      <c r="J375" s="11" t="n">
        <v>89.4</v>
      </c>
      <c r="K375" s="4" t="n">
        <v>1391</v>
      </c>
      <c r="L375" s="8" t="n">
        <v>1</v>
      </c>
      <c r="M375" s="11" t="n">
        <v>87</v>
      </c>
      <c r="N375" s="4" t="n">
        <v>2655</v>
      </c>
      <c r="O375" s="8" t="n">
        <v>1</v>
      </c>
      <c r="P375" s="4" t="n">
        <f aca="false">H375+K375+N375</f>
        <v>6455</v>
      </c>
      <c r="Q375" s="4" t="n">
        <f aca="false">Q374+P375</f>
        <v>1082273</v>
      </c>
      <c r="R375" s="4" t="n">
        <f aca="false">Q375-MAX(0,MAX($Q$2:Q375))</f>
        <v>0</v>
      </c>
    </row>
    <row r="376" customFormat="false" ht="15" hidden="false" customHeight="false" outlineLevel="0" collapsed="false">
      <c r="A376" s="7" t="n">
        <v>45869</v>
      </c>
      <c r="B376" s="8" t="n">
        <f aca="false">YEAR(A376)</f>
        <v>2025</v>
      </c>
      <c r="C376" s="8" t="n">
        <f aca="false">MONTH(A376)</f>
        <v>7</v>
      </c>
      <c r="D376" s="8" t="s">
        <v>36</v>
      </c>
      <c r="E376" s="9" t="n">
        <v>24642.2</v>
      </c>
      <c r="F376" s="10" t="n">
        <v>11.21</v>
      </c>
      <c r="G376" s="11" t="n">
        <v>158.7</v>
      </c>
      <c r="H376" s="4" t="n">
        <v>-3474</v>
      </c>
      <c r="I376" s="8" t="n">
        <v>2</v>
      </c>
      <c r="J376" s="11" t="n">
        <v>156.4</v>
      </c>
      <c r="K376" s="4" t="n">
        <v>-3425</v>
      </c>
      <c r="L376" s="8" t="n">
        <v>2</v>
      </c>
      <c r="M376" s="11" t="n">
        <v>149.3</v>
      </c>
      <c r="N376" s="4" t="n">
        <v>2388</v>
      </c>
      <c r="O376" s="8" t="n">
        <v>1</v>
      </c>
      <c r="P376" s="4" t="n">
        <f aca="false">H376+K376+N376</f>
        <v>-4511</v>
      </c>
      <c r="Q376" s="4" t="n">
        <f aca="false">Q375+P376</f>
        <v>1077762</v>
      </c>
      <c r="R376" s="4" t="n">
        <f aca="false">Q376-MAX(0,MAX($Q$2:Q376))</f>
        <v>-4511</v>
      </c>
    </row>
    <row r="377" customFormat="false" ht="15" hidden="false" customHeight="false" outlineLevel="0" collapsed="false">
      <c r="A377" s="7" t="n">
        <v>45876</v>
      </c>
      <c r="B377" s="8" t="n">
        <f aca="false">YEAR(A377)</f>
        <v>2025</v>
      </c>
      <c r="C377" s="8" t="n">
        <f aca="false">MONTH(A377)</f>
        <v>8</v>
      </c>
      <c r="D377" s="8" t="s">
        <v>36</v>
      </c>
      <c r="E377" s="9" t="n">
        <v>24464.2</v>
      </c>
      <c r="F377" s="10" t="n">
        <v>11.96</v>
      </c>
      <c r="G377" s="11" t="n">
        <v>138.2</v>
      </c>
      <c r="H377" s="4" t="n">
        <v>-2197</v>
      </c>
      <c r="I377" s="8" t="n">
        <v>1</v>
      </c>
      <c r="J377" s="11" t="n">
        <v>136.1</v>
      </c>
      <c r="K377" s="4" t="n">
        <v>-2136</v>
      </c>
      <c r="L377" s="8" t="n">
        <v>1</v>
      </c>
      <c r="M377" s="11" t="n">
        <v>129.5</v>
      </c>
      <c r="N377" s="4" t="n">
        <v>-2875</v>
      </c>
      <c r="O377" s="8" t="n">
        <v>2</v>
      </c>
      <c r="P377" s="4" t="n">
        <f aca="false">H377+K377+N377</f>
        <v>-7208</v>
      </c>
      <c r="Q377" s="4" t="n">
        <f aca="false">Q376+P377</f>
        <v>1070554</v>
      </c>
      <c r="R377" s="4" t="n">
        <f aca="false">Q377-MAX(0,MAX($Q$2:Q377))</f>
        <v>-11719</v>
      </c>
    </row>
    <row r="378" customFormat="false" ht="15" hidden="false" customHeight="false" outlineLevel="0" collapsed="false">
      <c r="A378" s="7" t="n">
        <v>45883</v>
      </c>
      <c r="B378" s="8" t="n">
        <f aca="false">YEAR(A378)</f>
        <v>2025</v>
      </c>
      <c r="C378" s="8" t="n">
        <f aca="false">MONTH(A378)</f>
        <v>8</v>
      </c>
      <c r="D378" s="8" t="s">
        <v>36</v>
      </c>
      <c r="E378" s="9" t="n">
        <v>24607.2</v>
      </c>
      <c r="F378" s="10" t="n">
        <v>12.14</v>
      </c>
      <c r="G378" s="11" t="n">
        <v>116.7</v>
      </c>
      <c r="H378" s="4" t="n">
        <v>1112</v>
      </c>
      <c r="I378" s="8" t="n">
        <v>1</v>
      </c>
      <c r="J378" s="11" t="n">
        <v>114.3</v>
      </c>
      <c r="K378" s="4" t="n">
        <v>1180</v>
      </c>
      <c r="L378" s="8" t="n">
        <v>1</v>
      </c>
      <c r="M378" s="11" t="n">
        <v>110.6</v>
      </c>
      <c r="N378" s="4" t="n">
        <v>804</v>
      </c>
      <c r="O378" s="8" t="n">
        <v>1</v>
      </c>
      <c r="P378" s="4" t="n">
        <f aca="false">H378+K378+N378</f>
        <v>3096</v>
      </c>
      <c r="Q378" s="4" t="n">
        <f aca="false">Q377+P378</f>
        <v>1073650</v>
      </c>
      <c r="R378" s="4" t="n">
        <f aca="false">Q378-MAX(0,MAX($Q$2:Q378))</f>
        <v>-8623</v>
      </c>
    </row>
    <row r="379" customFormat="false" ht="15" hidden="false" customHeight="false" outlineLevel="0" collapsed="false">
      <c r="A379" s="7" t="n">
        <v>45890</v>
      </c>
      <c r="B379" s="8" t="n">
        <f aca="false">YEAR(A379)</f>
        <v>2025</v>
      </c>
      <c r="C379" s="8" t="n">
        <f aca="false">MONTH(A379)</f>
        <v>8</v>
      </c>
      <c r="D379" s="8" t="s">
        <v>36</v>
      </c>
      <c r="E379" s="9" t="n">
        <v>25142</v>
      </c>
      <c r="F379" s="10" t="n">
        <v>11.79</v>
      </c>
      <c r="G379" s="11" t="n">
        <v>108.4</v>
      </c>
      <c r="H379" s="4" t="n">
        <v>1252</v>
      </c>
      <c r="I379" s="8" t="n">
        <v>1</v>
      </c>
      <c r="J379" s="11" t="n">
        <v>108.1</v>
      </c>
      <c r="K379" s="4" t="n">
        <v>910</v>
      </c>
      <c r="L379" s="8" t="n">
        <v>1</v>
      </c>
      <c r="M379" s="11" t="n">
        <v>102.4</v>
      </c>
      <c r="N379" s="4" t="n">
        <v>1362</v>
      </c>
      <c r="O379" s="8" t="n">
        <v>1</v>
      </c>
      <c r="P379" s="4" t="n">
        <f aca="false">H379+K379+N379</f>
        <v>3524</v>
      </c>
      <c r="Q379" s="4" t="n">
        <f aca="false">Q378+P379</f>
        <v>1077174</v>
      </c>
      <c r="R379" s="4" t="n">
        <f aca="false">Q379-MAX(0,MAX($Q$2:Q379))</f>
        <v>-5099</v>
      </c>
    </row>
    <row r="380" customFormat="false" ht="15" hidden="false" customHeight="false" outlineLevel="0" collapsed="false">
      <c r="A380" s="7" t="n">
        <v>45897</v>
      </c>
      <c r="B380" s="8" t="n">
        <f aca="false">YEAR(A380)</f>
        <v>2025</v>
      </c>
      <c r="C380" s="8" t="n">
        <f aca="false">MONTH(A380)</f>
        <v>8</v>
      </c>
      <c r="D380" s="8" t="s">
        <v>36</v>
      </c>
      <c r="E380" s="9" t="n">
        <v>24695.8</v>
      </c>
      <c r="F380" s="10" t="n">
        <v>12.19</v>
      </c>
      <c r="G380" s="11" t="n">
        <v>136.4</v>
      </c>
      <c r="H380" s="4" t="n">
        <v>-3017</v>
      </c>
      <c r="I380" s="8" t="n">
        <v>2</v>
      </c>
      <c r="J380" s="11" t="n">
        <v>133.9</v>
      </c>
      <c r="K380" s="4" t="n">
        <v>1166</v>
      </c>
      <c r="L380" s="8" t="n">
        <v>1</v>
      </c>
      <c r="M380" s="11" t="n">
        <v>128.3</v>
      </c>
      <c r="N380" s="4" t="n">
        <v>-2851</v>
      </c>
      <c r="O380" s="8" t="n">
        <v>2</v>
      </c>
      <c r="P380" s="4" t="n">
        <f aca="false">H380+K380+N380</f>
        <v>-4702</v>
      </c>
      <c r="Q380" s="4" t="n">
        <f aca="false">Q379+P380</f>
        <v>1072472</v>
      </c>
      <c r="R380" s="4" t="n">
        <f aca="false">Q380-MAX(0,MAX($Q$2:Q380))</f>
        <v>-9801</v>
      </c>
    </row>
    <row r="381" customFormat="false" ht="15" hidden="false" customHeight="false" outlineLevel="0" collapsed="false">
      <c r="A381" s="7" t="n">
        <v>45902</v>
      </c>
      <c r="B381" s="8" t="n">
        <f aca="false">YEAR(A381)</f>
        <v>2025</v>
      </c>
      <c r="C381" s="8" t="n">
        <f aca="false">MONTH(A381)</f>
        <v>9</v>
      </c>
      <c r="D381" s="8" t="s">
        <v>38</v>
      </c>
      <c r="E381" s="9" t="n">
        <v>24653</v>
      </c>
      <c r="F381" s="10" t="n">
        <v>11.29</v>
      </c>
      <c r="G381" s="11" t="n">
        <v>91.5</v>
      </c>
      <c r="H381" s="4" t="n">
        <v>-2098</v>
      </c>
      <c r="I381" s="8" t="n">
        <v>2</v>
      </c>
      <c r="J381" s="11" t="n">
        <v>91</v>
      </c>
      <c r="K381" s="4" t="n">
        <v>-2087</v>
      </c>
      <c r="L381" s="8" t="n">
        <v>2</v>
      </c>
      <c r="M381" s="11" t="n">
        <v>86.3</v>
      </c>
      <c r="N381" s="4" t="n">
        <v>1749</v>
      </c>
      <c r="O381" s="8" t="n">
        <v>1</v>
      </c>
      <c r="P381" s="4" t="n">
        <f aca="false">H381+K381+N381</f>
        <v>-2436</v>
      </c>
      <c r="Q381" s="4" t="n">
        <f aca="false">Q380+P381</f>
        <v>1070036</v>
      </c>
      <c r="R381" s="4" t="n">
        <f aca="false">Q381-MAX(0,MAX($Q$2:Q381))</f>
        <v>-12237</v>
      </c>
    </row>
    <row r="382" customFormat="false" ht="15" hidden="false" customHeight="false" outlineLevel="0" collapsed="false">
      <c r="A382" s="7" t="n">
        <v>45909</v>
      </c>
      <c r="B382" s="8" t="n">
        <f aca="false">YEAR(A382)</f>
        <v>2025</v>
      </c>
      <c r="C382" s="8" t="n">
        <f aca="false">MONTH(A382)</f>
        <v>9</v>
      </c>
      <c r="D382" s="8" t="s">
        <v>38</v>
      </c>
      <c r="E382" s="9" t="n">
        <v>24864.1</v>
      </c>
      <c r="F382" s="10" t="n">
        <v>10.84</v>
      </c>
      <c r="G382" s="11" t="n">
        <v>86.3</v>
      </c>
      <c r="H382" s="4" t="n">
        <v>1325</v>
      </c>
      <c r="I382" s="8" t="n">
        <v>1</v>
      </c>
      <c r="J382" s="11" t="n">
        <v>82.2</v>
      </c>
      <c r="K382" s="4" t="n">
        <v>1745</v>
      </c>
      <c r="L382" s="8" t="n">
        <v>1</v>
      </c>
      <c r="M382" s="11" t="n">
        <v>78.6</v>
      </c>
      <c r="N382" s="4" t="n">
        <v>61</v>
      </c>
      <c r="O382" s="8" t="n">
        <v>1</v>
      </c>
      <c r="P382" s="4" t="n">
        <f aca="false">H382+K382+N382</f>
        <v>3131</v>
      </c>
      <c r="Q382" s="4" t="n">
        <f aca="false">Q381+P382</f>
        <v>1073167</v>
      </c>
      <c r="R382" s="4" t="n">
        <f aca="false">Q382-MAX(0,MAX($Q$2:Q382))</f>
        <v>-9106</v>
      </c>
    </row>
    <row r="383" customFormat="false" ht="15" hidden="false" customHeight="false" outlineLevel="0" collapsed="false">
      <c r="A383" s="7" t="n">
        <v>45916</v>
      </c>
      <c r="B383" s="8" t="n">
        <f aca="false">YEAR(A383)</f>
        <v>2025</v>
      </c>
      <c r="C383" s="8" t="n">
        <f aca="false">MONTH(A383)</f>
        <v>9</v>
      </c>
      <c r="D383" s="8" t="s">
        <v>38</v>
      </c>
      <c r="E383" s="9" t="n">
        <v>25073.6</v>
      </c>
      <c r="F383" s="10" t="n">
        <v>10.4</v>
      </c>
      <c r="G383" s="11" t="n">
        <v>97.3</v>
      </c>
      <c r="H383" s="4" t="n">
        <v>1017</v>
      </c>
      <c r="I383" s="8" t="n">
        <v>1</v>
      </c>
      <c r="J383" s="11" t="n">
        <v>95.1</v>
      </c>
      <c r="K383" s="4" t="n">
        <v>2582</v>
      </c>
      <c r="L383" s="8" t="n">
        <v>1</v>
      </c>
      <c r="M383" s="11" t="n">
        <v>92.4</v>
      </c>
      <c r="N383" s="4" t="n">
        <v>752</v>
      </c>
      <c r="O383" s="8" t="n">
        <v>1</v>
      </c>
      <c r="P383" s="4" t="n">
        <f aca="false">H383+K383+N383</f>
        <v>4351</v>
      </c>
      <c r="Q383" s="4" t="n">
        <f aca="false">Q382+P383</f>
        <v>1077518</v>
      </c>
      <c r="R383" s="4" t="n">
        <f aca="false">Q383-MAX(0,MAX($Q$2:Q383))</f>
        <v>-4755</v>
      </c>
    </row>
    <row r="384" customFormat="false" ht="15" hidden="false" customHeight="false" outlineLevel="0" collapsed="false">
      <c r="A384" s="7" t="n">
        <v>45923</v>
      </c>
      <c r="B384" s="8" t="n">
        <f aca="false">YEAR(A384)</f>
        <v>2025</v>
      </c>
      <c r="C384" s="8" t="n">
        <f aca="false">MONTH(A384)</f>
        <v>9</v>
      </c>
      <c r="D384" s="8" t="s">
        <v>38</v>
      </c>
      <c r="E384" s="9" t="n">
        <v>25209</v>
      </c>
      <c r="F384" s="10" t="n">
        <v>10.56</v>
      </c>
      <c r="G384" s="11" t="n">
        <v>93.1</v>
      </c>
      <c r="H384" s="4" t="n">
        <v>1917</v>
      </c>
      <c r="I384" s="8" t="n">
        <v>1</v>
      </c>
      <c r="J384" s="11" t="n">
        <v>93.2</v>
      </c>
      <c r="K384" s="4" t="n">
        <v>-2132</v>
      </c>
      <c r="L384" s="8" t="n">
        <v>2</v>
      </c>
      <c r="M384" s="11" t="n">
        <v>87.4</v>
      </c>
      <c r="N384" s="4" t="n">
        <v>-2013</v>
      </c>
      <c r="O384" s="8" t="n">
        <v>2</v>
      </c>
      <c r="P384" s="4" t="n">
        <f aca="false">H384+K384+N384</f>
        <v>-2228</v>
      </c>
      <c r="Q384" s="4" t="n">
        <f aca="false">Q383+P384</f>
        <v>1075290</v>
      </c>
      <c r="R384" s="4" t="n">
        <f aca="false">Q384-MAX(0,MAX($Q$2:Q384))</f>
        <v>-6983</v>
      </c>
    </row>
    <row r="385" customFormat="false" ht="15" hidden="false" customHeight="false" outlineLevel="0" collapsed="false">
      <c r="A385" s="7" t="n">
        <v>45930</v>
      </c>
      <c r="B385" s="8" t="n">
        <f aca="false">YEAR(A385)</f>
        <v>2025</v>
      </c>
      <c r="C385" s="8" t="n">
        <f aca="false">MONTH(A385)</f>
        <v>9</v>
      </c>
      <c r="D385" s="8" t="s">
        <v>38</v>
      </c>
      <c r="E385" s="9" t="n">
        <v>24692</v>
      </c>
      <c r="F385" s="10" t="n">
        <v>11.37</v>
      </c>
      <c r="G385" s="11" t="n">
        <v>93.3</v>
      </c>
      <c r="H385" s="4" t="n">
        <v>3161</v>
      </c>
      <c r="I385" s="8" t="n">
        <v>1</v>
      </c>
      <c r="J385" s="11" t="n">
        <v>89.5</v>
      </c>
      <c r="K385" s="4" t="n">
        <v>977</v>
      </c>
      <c r="L385" s="8" t="n">
        <v>1</v>
      </c>
      <c r="M385" s="11" t="n">
        <v>86.4</v>
      </c>
      <c r="N385" s="4" t="n">
        <v>2667</v>
      </c>
      <c r="O385" s="8" t="n">
        <v>1</v>
      </c>
      <c r="P385" s="4" t="n">
        <f aca="false">H385+K385+N385</f>
        <v>6805</v>
      </c>
      <c r="Q385" s="4" t="n">
        <f aca="false">Q384+P385</f>
        <v>1082095</v>
      </c>
      <c r="R385" s="4" t="n">
        <f aca="false">Q385-MAX(0,MAX($Q$2:Q385))</f>
        <v>-178</v>
      </c>
    </row>
    <row r="386" customFormat="false" ht="15" hidden="false" customHeight="false" outlineLevel="0" collapsed="false">
      <c r="A386" s="7" t="n">
        <v>45937</v>
      </c>
      <c r="B386" s="8" t="n">
        <f aca="false">YEAR(A386)</f>
        <v>2025</v>
      </c>
      <c r="C386" s="8" t="n">
        <f aca="false">MONTH(A386)</f>
        <v>10</v>
      </c>
      <c r="D386" s="8" t="s">
        <v>38</v>
      </c>
      <c r="E386" s="9" t="n">
        <v>25085.3</v>
      </c>
      <c r="F386" s="10" t="n">
        <v>10.19</v>
      </c>
      <c r="G386" s="11" t="n">
        <v>83.1</v>
      </c>
      <c r="H386" s="4" t="n">
        <v>211</v>
      </c>
      <c r="I386" s="8" t="n">
        <v>1</v>
      </c>
      <c r="J386" s="11" t="n">
        <v>83.3</v>
      </c>
      <c r="K386" s="4" t="n">
        <v>-272</v>
      </c>
      <c r="L386" s="8" t="n">
        <v>1</v>
      </c>
      <c r="M386" s="11" t="n">
        <v>77.9</v>
      </c>
      <c r="N386" s="4" t="n">
        <v>1690</v>
      </c>
      <c r="O386" s="8" t="n">
        <v>1</v>
      </c>
      <c r="P386" s="4" t="n">
        <f aca="false">H386+K386+N386</f>
        <v>1629</v>
      </c>
      <c r="Q386" s="4" t="n">
        <f aca="false">Q385+P386</f>
        <v>1083724</v>
      </c>
      <c r="R386" s="4" t="n">
        <f aca="false">Q386-MAX(0,MAX($Q$2:Q386))</f>
        <v>0</v>
      </c>
    </row>
    <row r="387" customFormat="false" ht="15" hidden="false" customHeight="false" outlineLevel="0" collapsed="false">
      <c r="A387" s="7" t="n">
        <v>45944</v>
      </c>
      <c r="B387" s="8" t="n">
        <f aca="false">YEAR(A387)</f>
        <v>2025</v>
      </c>
      <c r="C387" s="8" t="n">
        <f aca="false">MONTH(A387)</f>
        <v>10</v>
      </c>
      <c r="D387" s="8" t="s">
        <v>38</v>
      </c>
      <c r="E387" s="9" t="n">
        <v>25277.6</v>
      </c>
      <c r="F387" s="10" t="n">
        <v>11.01</v>
      </c>
      <c r="G387" s="11" t="n">
        <v>79.7</v>
      </c>
      <c r="H387" s="4" t="n">
        <v>1540</v>
      </c>
      <c r="I387" s="8" t="n">
        <v>1</v>
      </c>
      <c r="J387" s="11" t="n">
        <v>78.5</v>
      </c>
      <c r="K387" s="4" t="n">
        <v>1175</v>
      </c>
      <c r="L387" s="8" t="n">
        <v>1</v>
      </c>
      <c r="M387" s="11" t="n">
        <v>74.6</v>
      </c>
      <c r="N387" s="4" t="n">
        <v>-1751</v>
      </c>
      <c r="O387" s="8" t="n">
        <v>2</v>
      </c>
      <c r="P387" s="4" t="n">
        <f aca="false">H387+K387+N387</f>
        <v>964</v>
      </c>
      <c r="Q387" s="4" t="n">
        <f aca="false">Q386+P387</f>
        <v>1084688</v>
      </c>
      <c r="R387" s="4" t="n">
        <f aca="false">Q387-MAX(0,MAX($Q$2:Q387))</f>
        <v>0</v>
      </c>
    </row>
    <row r="388" customFormat="false" ht="15" hidden="false" customHeight="false" outlineLevel="0" collapsed="false">
      <c r="A388" s="7" t="n">
        <v>45950</v>
      </c>
      <c r="B388" s="8" t="n">
        <f aca="false">YEAR(A388)</f>
        <v>2025</v>
      </c>
      <c r="C388" s="8" t="n">
        <f aca="false">MONTH(A388)</f>
        <v>10</v>
      </c>
      <c r="D388" s="8" t="s">
        <v>39</v>
      </c>
      <c r="E388" s="9" t="n">
        <v>25824.6</v>
      </c>
      <c r="F388" s="10" t="n">
        <v>11.63</v>
      </c>
      <c r="G388" s="11" t="n">
        <v>130</v>
      </c>
      <c r="H388" s="4" t="n">
        <v>3717</v>
      </c>
      <c r="I388" s="8" t="n">
        <v>1</v>
      </c>
      <c r="J388" s="11" t="n">
        <v>128</v>
      </c>
      <c r="K388" s="4" t="n">
        <v>3153</v>
      </c>
      <c r="L388" s="8" t="n">
        <v>1</v>
      </c>
      <c r="M388" s="11" t="n">
        <v>120.6</v>
      </c>
      <c r="N388" s="4" t="n">
        <v>1913</v>
      </c>
      <c r="O388" s="8" t="n">
        <v>1</v>
      </c>
      <c r="P388" s="4" t="n">
        <f aca="false">H388+K388+N388</f>
        <v>8783</v>
      </c>
      <c r="Q388" s="4" t="n">
        <f aca="false">Q387+P388</f>
        <v>1093471</v>
      </c>
      <c r="R388" s="4" t="n">
        <f aca="false">Q388-MAX(0,MAX($Q$2:Q388))</f>
        <v>0</v>
      </c>
    </row>
    <row r="389" customFormat="false" ht="15" hidden="false" customHeight="false" outlineLevel="0" collapsed="false">
      <c r="A389" s="7" t="n">
        <v>45958</v>
      </c>
      <c r="B389" s="8" t="n">
        <f aca="false">YEAR(A389)</f>
        <v>2025</v>
      </c>
      <c r="C389" s="8" t="n">
        <f aca="false">MONTH(A389)</f>
        <v>10</v>
      </c>
      <c r="D389" s="8" t="s">
        <v>38</v>
      </c>
      <c r="E389" s="9" t="n">
        <v>25940</v>
      </c>
      <c r="F389" s="10" t="n">
        <v>11.86</v>
      </c>
      <c r="G389" s="11" t="n">
        <v>146.5</v>
      </c>
      <c r="H389" s="4" t="n">
        <v>-3224</v>
      </c>
      <c r="I389" s="8" t="n">
        <v>2</v>
      </c>
      <c r="J389" s="11" t="n">
        <v>143.9</v>
      </c>
      <c r="K389" s="4" t="n">
        <v>2332</v>
      </c>
      <c r="L389" s="8" t="n">
        <v>1</v>
      </c>
      <c r="M389" s="11" t="n">
        <v>137.3</v>
      </c>
      <c r="N389" s="4" t="n">
        <v>1441</v>
      </c>
      <c r="O389" s="8" t="n">
        <v>1</v>
      </c>
      <c r="P389" s="4" t="n">
        <f aca="false">H389+K389+N389</f>
        <v>549</v>
      </c>
      <c r="Q389" s="4" t="n">
        <f aca="false">Q388+P389</f>
        <v>1094020</v>
      </c>
      <c r="R389" s="4" t="n">
        <f aca="false">Q389-MAX(0,MAX($Q$2:Q389))</f>
        <v>0</v>
      </c>
    </row>
    <row r="390" customFormat="false" ht="15" hidden="false" customHeight="false" outlineLevel="0" collapsed="false">
      <c r="A390" s="7" t="n">
        <v>45965</v>
      </c>
      <c r="B390" s="8" t="n">
        <f aca="false">YEAR(A390)</f>
        <v>2025</v>
      </c>
      <c r="C390" s="8" t="n">
        <f aca="false">MONTH(A390)</f>
        <v>11</v>
      </c>
      <c r="D390" s="8" t="s">
        <v>38</v>
      </c>
      <c r="E390" s="9" t="n">
        <v>25744.8</v>
      </c>
      <c r="F390" s="10" t="n">
        <v>12.67</v>
      </c>
      <c r="G390" s="11" t="n">
        <v>137.6</v>
      </c>
      <c r="H390" s="4" t="n">
        <v>3045</v>
      </c>
      <c r="I390" s="8" t="n">
        <v>1</v>
      </c>
      <c r="J390" s="11" t="n">
        <v>135.1</v>
      </c>
      <c r="K390" s="4" t="n">
        <v>3206</v>
      </c>
      <c r="L390" s="8" t="n">
        <v>1</v>
      </c>
      <c r="M390" s="11" t="n">
        <v>130.3</v>
      </c>
      <c r="N390" s="4" t="n">
        <v>3623</v>
      </c>
      <c r="O390" s="8" t="n">
        <v>1</v>
      </c>
      <c r="P390" s="4" t="n">
        <f aca="false">H390+K390+N390</f>
        <v>9874</v>
      </c>
      <c r="Q390" s="4" t="n">
        <f aca="false">Q389+P390</f>
        <v>1103894</v>
      </c>
      <c r="R390" s="4" t="n">
        <f aca="false">Q390-MAX(0,MAX($Q$2:Q390))</f>
        <v>0</v>
      </c>
    </row>
    <row r="391" customFormat="false" ht="15" hidden="false" customHeight="false" outlineLevel="0" collapsed="false">
      <c r="A391" s="7" t="n">
        <v>45972</v>
      </c>
      <c r="B391" s="8" t="n">
        <f aca="false">YEAR(A391)</f>
        <v>2025</v>
      </c>
      <c r="C391" s="8" t="n">
        <f aca="false">MONTH(A391)</f>
        <v>11</v>
      </c>
      <c r="D391" s="8" t="s">
        <v>38</v>
      </c>
      <c r="E391" s="9" t="n">
        <v>25617</v>
      </c>
      <c r="F391" s="10" t="n">
        <v>12.3</v>
      </c>
      <c r="G391" s="11" t="n">
        <v>113.7</v>
      </c>
      <c r="H391" s="4" t="n">
        <v>-2552</v>
      </c>
      <c r="I391" s="8" t="n">
        <v>2</v>
      </c>
      <c r="J391" s="11" t="n">
        <v>111.2</v>
      </c>
      <c r="K391" s="4" t="n">
        <v>-2500</v>
      </c>
      <c r="L391" s="8" t="n">
        <v>2</v>
      </c>
      <c r="M391" s="11" t="n">
        <v>107.7</v>
      </c>
      <c r="N391" s="4" t="n">
        <v>-2430</v>
      </c>
      <c r="O391" s="8" t="n">
        <v>2</v>
      </c>
      <c r="P391" s="4" t="n">
        <f aca="false">H391+K391+N391</f>
        <v>-7482</v>
      </c>
      <c r="Q391" s="4" t="n">
        <f aca="false">Q390+P391</f>
        <v>1096412</v>
      </c>
      <c r="R391" s="4" t="n">
        <f aca="false">Q391-MAX(0,MAX($Q$2:Q391))</f>
        <v>-7482</v>
      </c>
    </row>
    <row r="392" customFormat="false" ht="15" hidden="false" customHeight="false" outlineLevel="0" collapsed="false">
      <c r="A392" s="7" t="n">
        <v>45979</v>
      </c>
      <c r="B392" s="8" t="n">
        <f aca="false">YEAR(A392)</f>
        <v>2025</v>
      </c>
      <c r="C392" s="8" t="n">
        <f aca="false">MONTH(A392)</f>
        <v>11</v>
      </c>
      <c r="D392" s="8" t="s">
        <v>38</v>
      </c>
      <c r="E392" s="9" t="n">
        <v>26021.8</v>
      </c>
      <c r="F392" s="10" t="n">
        <v>11.79</v>
      </c>
      <c r="G392" s="11" t="n">
        <v>122.1</v>
      </c>
      <c r="H392" s="4" t="n">
        <v>2681</v>
      </c>
      <c r="I392" s="8" t="n">
        <v>1</v>
      </c>
      <c r="J392" s="11" t="n">
        <v>120.9</v>
      </c>
      <c r="K392" s="4" t="n">
        <v>3254</v>
      </c>
      <c r="L392" s="8" t="n">
        <v>1</v>
      </c>
      <c r="M392" s="11" t="n">
        <v>115.3</v>
      </c>
      <c r="N392" s="4" t="n">
        <v>731</v>
      </c>
      <c r="O392" s="8" t="n">
        <v>1</v>
      </c>
      <c r="P392" s="4" t="n">
        <f aca="false">H392+K392+N392</f>
        <v>6666</v>
      </c>
      <c r="Q392" s="4" t="n">
        <f aca="false">Q391+P392</f>
        <v>1103078</v>
      </c>
      <c r="R392" s="4" t="n">
        <f aca="false">Q392-MAX(0,MAX($Q$2:Q392))</f>
        <v>-816</v>
      </c>
    </row>
    <row r="393" customFormat="false" ht="15" hidden="false" customHeight="false" outlineLevel="0" collapsed="false">
      <c r="A393" s="7" t="n">
        <v>45986</v>
      </c>
      <c r="B393" s="8" t="n">
        <f aca="false">YEAR(A393)</f>
        <v>2025</v>
      </c>
      <c r="C393" s="8" t="n">
        <f aca="false">MONTH(A393)</f>
        <v>11</v>
      </c>
      <c r="D393" s="8" t="s">
        <v>38</v>
      </c>
      <c r="E393" s="9" t="n">
        <v>25998.5</v>
      </c>
      <c r="F393" s="10" t="n">
        <v>13.24</v>
      </c>
      <c r="G393" s="11" t="n">
        <v>125.5</v>
      </c>
      <c r="H393" s="4" t="n">
        <v>-1604</v>
      </c>
      <c r="I393" s="8" t="n">
        <v>1</v>
      </c>
      <c r="J393" s="11" t="n">
        <v>124</v>
      </c>
      <c r="K393" s="4" t="n">
        <v>-2762</v>
      </c>
      <c r="L393" s="8" t="n">
        <v>2</v>
      </c>
      <c r="M393" s="11" t="n">
        <v>118.2</v>
      </c>
      <c r="N393" s="4" t="n">
        <v>-2645</v>
      </c>
      <c r="O393" s="8" t="n">
        <v>2</v>
      </c>
      <c r="P393" s="4" t="n">
        <f aca="false">H393+K393+N393</f>
        <v>-7011</v>
      </c>
      <c r="Q393" s="4" t="n">
        <f aca="false">Q392+P393</f>
        <v>1096067</v>
      </c>
      <c r="R393" s="4" t="n">
        <f aca="false">Q393-MAX(0,MAX($Q$2:Q393))</f>
        <v>-7827</v>
      </c>
    </row>
    <row r="394" customFormat="false" ht="15" hidden="false" customHeight="false" outlineLevel="0" collapsed="false">
      <c r="A394" s="7" t="n">
        <v>45993</v>
      </c>
      <c r="B394" s="8" t="n">
        <f aca="false">YEAR(A394)</f>
        <v>2025</v>
      </c>
      <c r="C394" s="8" t="n">
        <f aca="false">MONTH(A394)</f>
        <v>12</v>
      </c>
      <c r="D394" s="8" t="s">
        <v>38</v>
      </c>
      <c r="E394" s="9" t="n">
        <v>26088</v>
      </c>
      <c r="F394" s="10" t="n">
        <v>11.63</v>
      </c>
      <c r="G394" s="11" t="n">
        <v>135.1</v>
      </c>
      <c r="H394" s="4" t="n">
        <v>2877</v>
      </c>
      <c r="I394" s="8" t="n">
        <v>1</v>
      </c>
      <c r="J394" s="11" t="n">
        <v>133.5</v>
      </c>
      <c r="K394" s="4" t="n">
        <v>3632</v>
      </c>
      <c r="L394" s="8" t="n">
        <v>1</v>
      </c>
      <c r="M394" s="11" t="n">
        <v>127.1</v>
      </c>
      <c r="N394" s="4" t="n">
        <v>1983</v>
      </c>
      <c r="O394" s="8" t="n">
        <v>1</v>
      </c>
      <c r="P394" s="4" t="n">
        <f aca="false">H394+K394+N394</f>
        <v>8492</v>
      </c>
      <c r="Q394" s="4" t="n">
        <f aca="false">Q393+P394</f>
        <v>1104559</v>
      </c>
      <c r="R394" s="4" t="n">
        <f aca="false">Q394-MAX(0,MAX($Q$2:Q394))</f>
        <v>0</v>
      </c>
    </row>
    <row r="395" customFormat="false" ht="15" hidden="false" customHeight="false" outlineLevel="0" collapsed="false">
      <c r="A395" s="7" t="n">
        <v>46000</v>
      </c>
      <c r="B395" s="8" t="n">
        <f aca="false">YEAR(A395)</f>
        <v>2025</v>
      </c>
      <c r="C395" s="8" t="n">
        <f aca="false">MONTH(A395)</f>
        <v>12</v>
      </c>
      <c r="D395" s="8" t="s">
        <v>38</v>
      </c>
      <c r="E395" s="9" t="n">
        <v>25867.1</v>
      </c>
      <c r="F395" s="10" t="n">
        <v>11.13</v>
      </c>
      <c r="G395" s="11" t="n">
        <v>122.8</v>
      </c>
      <c r="H395" s="4" t="n">
        <v>-2739</v>
      </c>
      <c r="I395" s="8" t="n">
        <v>2</v>
      </c>
      <c r="J395" s="11" t="n">
        <v>121.8</v>
      </c>
      <c r="K395" s="4" t="n">
        <v>-2717</v>
      </c>
      <c r="L395" s="8" t="n">
        <v>2</v>
      </c>
      <c r="M395" s="11" t="n">
        <v>114.7</v>
      </c>
      <c r="N395" s="4" t="n">
        <v>1996</v>
      </c>
      <c r="O395" s="8" t="n">
        <v>1</v>
      </c>
      <c r="P395" s="4" t="n">
        <f aca="false">H395+K395+N395</f>
        <v>-3460</v>
      </c>
      <c r="Q395" s="4" t="n">
        <f aca="false">Q394+P395</f>
        <v>1101099</v>
      </c>
      <c r="R395" s="4" t="n">
        <f aca="false">Q395-MAX(0,MAX($Q$2:Q395))</f>
        <v>-3460</v>
      </c>
    </row>
    <row r="396" customFormat="false" ht="15" hidden="false" customHeight="false" outlineLevel="0" collapsed="false">
      <c r="A396" s="7" t="n">
        <v>46007</v>
      </c>
      <c r="B396" s="8" t="n">
        <f aca="false">YEAR(A396)</f>
        <v>2025</v>
      </c>
      <c r="C396" s="8" t="n">
        <f aca="false">MONTH(A396)</f>
        <v>12</v>
      </c>
      <c r="D396" s="8" t="s">
        <v>38</v>
      </c>
      <c r="E396" s="9" t="n">
        <v>25951.5</v>
      </c>
      <c r="F396" s="10" t="n">
        <v>10.25</v>
      </c>
      <c r="G396" s="11" t="n">
        <v>115</v>
      </c>
      <c r="H396" s="4" t="n">
        <v>2461</v>
      </c>
      <c r="I396" s="8" t="n">
        <v>1</v>
      </c>
      <c r="J396" s="11" t="n">
        <v>114.1</v>
      </c>
      <c r="K396" s="4" t="n">
        <v>3195</v>
      </c>
      <c r="L396" s="8" t="n">
        <v>1</v>
      </c>
      <c r="M396" s="11" t="n">
        <v>107.9</v>
      </c>
      <c r="N396" s="4" t="n">
        <v>3977</v>
      </c>
      <c r="O396" s="8" t="n">
        <v>0</v>
      </c>
      <c r="P396" s="4" t="n">
        <f aca="false">H396+K396+N396</f>
        <v>9633</v>
      </c>
      <c r="Q396" s="4" t="n">
        <f aca="false">Q395+P396</f>
        <v>1110732</v>
      </c>
      <c r="R396" s="4" t="n">
        <f aca="false">Q396-MAX(0,MAX($Q$2:Q396))</f>
        <v>0</v>
      </c>
    </row>
    <row r="397" customFormat="false" ht="15" hidden="false" customHeight="false" outlineLevel="0" collapsed="false">
      <c r="A397" s="7" t="n">
        <v>46014</v>
      </c>
      <c r="B397" s="8" t="n">
        <f aca="false">YEAR(A397)</f>
        <v>2025</v>
      </c>
      <c r="C397" s="8" t="n">
        <f aca="false">MONTH(A397)</f>
        <v>12</v>
      </c>
      <c r="D397" s="8" t="s">
        <v>38</v>
      </c>
      <c r="E397" s="9" t="n">
        <v>26205.2</v>
      </c>
      <c r="F397" s="10" t="n">
        <v>9.68</v>
      </c>
      <c r="G397" s="11" t="n">
        <v>113.4</v>
      </c>
      <c r="H397" s="4" t="n">
        <v>1223</v>
      </c>
      <c r="I397" s="8" t="n">
        <v>1</v>
      </c>
      <c r="J397" s="11" t="n">
        <v>109.3</v>
      </c>
      <c r="K397" s="4" t="n">
        <v>2015</v>
      </c>
      <c r="L397" s="8" t="n">
        <v>1</v>
      </c>
      <c r="M397" s="11" t="n">
        <v>105.2</v>
      </c>
      <c r="N397" s="4" t="n">
        <v>4860</v>
      </c>
      <c r="O397" s="8" t="n">
        <v>0</v>
      </c>
      <c r="P397" s="4" t="n">
        <f aca="false">H397+K397+N397</f>
        <v>8098</v>
      </c>
      <c r="Q397" s="4" t="n">
        <f aca="false">Q396+P397</f>
        <v>1118830</v>
      </c>
      <c r="R397" s="4" t="n">
        <f aca="false">Q397-MAX(0,MAX($Q$2:Q397))</f>
        <v>0</v>
      </c>
    </row>
    <row r="398" customFormat="false" ht="15" hidden="false" customHeight="false" outlineLevel="0" collapsed="false">
      <c r="A398" s="7" t="n">
        <v>46021</v>
      </c>
      <c r="B398" s="8" t="n">
        <f aca="false">YEAR(A398)</f>
        <v>2025</v>
      </c>
      <c r="C398" s="8" t="n">
        <f aca="false">MONTH(A398)</f>
        <v>12</v>
      </c>
      <c r="D398" s="8" t="s">
        <v>38</v>
      </c>
      <c r="E398" s="9" t="n">
        <v>25940.9</v>
      </c>
      <c r="F398" s="10" t="n">
        <v>9.72</v>
      </c>
      <c r="G398" s="11" t="n">
        <v>96.6</v>
      </c>
      <c r="H398" s="4" t="n">
        <v>2073</v>
      </c>
      <c r="I398" s="8" t="n">
        <v>1</v>
      </c>
      <c r="J398" s="11" t="n">
        <v>95.3</v>
      </c>
      <c r="K398" s="4" t="n">
        <v>1343</v>
      </c>
      <c r="L398" s="8" t="n">
        <v>1</v>
      </c>
      <c r="M398" s="11" t="n">
        <v>91.4</v>
      </c>
      <c r="N398" s="4" t="n">
        <v>-2095</v>
      </c>
      <c r="O398" s="8" t="n">
        <v>2</v>
      </c>
      <c r="P398" s="4" t="n">
        <f aca="false">H398+K398+N398</f>
        <v>1321</v>
      </c>
      <c r="Q398" s="4" t="n">
        <f aca="false">Q397+P398</f>
        <v>1120151</v>
      </c>
      <c r="R398" s="4" t="n">
        <f aca="false">Q398-MAX(0,MAX($Q$2:Q398))</f>
        <v>0</v>
      </c>
    </row>
    <row r="399" customFormat="false" ht="15" hidden="false" customHeight="false" outlineLevel="0" collapsed="false">
      <c r="A399" s="7" t="n">
        <v>46028</v>
      </c>
      <c r="B399" s="8" t="n">
        <f aca="false">YEAR(A399)</f>
        <v>2026</v>
      </c>
      <c r="C399" s="8" t="n">
        <f aca="false">MONTH(A399)</f>
        <v>1</v>
      </c>
      <c r="D399" s="8" t="s">
        <v>38</v>
      </c>
      <c r="E399" s="9" t="n">
        <v>26189.7</v>
      </c>
      <c r="F399" s="10" t="n">
        <v>10.02</v>
      </c>
      <c r="G399" s="11" t="n">
        <v>97.1</v>
      </c>
      <c r="H399" s="4" t="n">
        <v>-2211</v>
      </c>
      <c r="I399" s="8" t="n">
        <v>2</v>
      </c>
      <c r="J399" s="11" t="n">
        <v>97.2</v>
      </c>
      <c r="K399" s="4" t="n">
        <v>-2215</v>
      </c>
      <c r="L399" s="8" t="n">
        <v>2</v>
      </c>
      <c r="M399" s="11" t="n">
        <v>91.9</v>
      </c>
      <c r="N399" s="4" t="n">
        <v>2348</v>
      </c>
      <c r="O399" s="8" t="n">
        <v>1</v>
      </c>
      <c r="P399" s="4" t="n">
        <f aca="false">H399+K399+N399</f>
        <v>-2078</v>
      </c>
      <c r="Q399" s="4" t="n">
        <f aca="false">Q398+P399</f>
        <v>1118073</v>
      </c>
      <c r="R399" s="4" t="n">
        <f aca="false">Q399-MAX(0,MAX($Q$2:Q399))</f>
        <v>-2078</v>
      </c>
    </row>
    <row r="400" customFormat="false" ht="15" hidden="false" customHeight="false" outlineLevel="0" collapsed="false">
      <c r="A400" s="7" t="n">
        <v>46035</v>
      </c>
      <c r="B400" s="8" t="n">
        <f aca="false">YEAR(A400)</f>
        <v>2026</v>
      </c>
      <c r="C400" s="8" t="n">
        <f aca="false">MONTH(A400)</f>
        <v>1</v>
      </c>
      <c r="D400" s="8" t="s">
        <v>38</v>
      </c>
      <c r="E400" s="9" t="n">
        <v>25897.4</v>
      </c>
      <c r="F400" s="10" t="n">
        <v>11.37</v>
      </c>
      <c r="G400" s="11" t="n">
        <v>126.2</v>
      </c>
      <c r="H400" s="4" t="n">
        <v>3694</v>
      </c>
      <c r="I400" s="8" t="n">
        <v>1</v>
      </c>
      <c r="J400" s="11" t="n">
        <v>121.9</v>
      </c>
      <c r="K400" s="4" t="n">
        <v>-2719</v>
      </c>
      <c r="L400" s="8" t="n">
        <v>2</v>
      </c>
      <c r="M400" s="11" t="n">
        <v>116.7</v>
      </c>
      <c r="N400" s="4" t="n">
        <v>-2613</v>
      </c>
      <c r="O400" s="8" t="n">
        <v>2</v>
      </c>
      <c r="P400" s="4" t="n">
        <f aca="false">H400+K400+N400</f>
        <v>-1638</v>
      </c>
      <c r="Q400" s="4" t="n">
        <f aca="false">Q399+P400</f>
        <v>1116435</v>
      </c>
      <c r="R400" s="4" t="n">
        <f aca="false">Q400-MAX(0,MAX($Q$2:Q400))</f>
        <v>-3716</v>
      </c>
    </row>
    <row r="401" customFormat="false" ht="15" hidden="false" customHeight="false" outlineLevel="0" collapsed="false">
      <c r="A401" s="7" t="n">
        <v>46042</v>
      </c>
      <c r="B401" s="8" t="n">
        <f aca="false">YEAR(A401)</f>
        <v>2026</v>
      </c>
      <c r="C401" s="8" t="n">
        <f aca="false">MONTH(A401)</f>
        <v>1</v>
      </c>
      <c r="D401" s="8" t="s">
        <v>38</v>
      </c>
      <c r="E401" s="9" t="n">
        <v>25580.3</v>
      </c>
      <c r="F401" s="10" t="n">
        <v>11.83</v>
      </c>
      <c r="G401" s="11" t="n">
        <v>93.9</v>
      </c>
      <c r="H401" s="4" t="n">
        <v>1613</v>
      </c>
      <c r="I401" s="8" t="n">
        <v>1</v>
      </c>
      <c r="J401" s="11" t="n">
        <v>92</v>
      </c>
      <c r="K401" s="4" t="n">
        <v>1940</v>
      </c>
      <c r="L401" s="8" t="n">
        <v>1</v>
      </c>
      <c r="M401" s="11" t="n">
        <v>90.8</v>
      </c>
      <c r="N401" s="4" t="n">
        <v>3027</v>
      </c>
      <c r="O401" s="8" t="n">
        <v>1</v>
      </c>
      <c r="P401" s="4" t="n">
        <f aca="false">H401+K401+N401</f>
        <v>6580</v>
      </c>
      <c r="Q401" s="4" t="n">
        <f aca="false">Q400+P401</f>
        <v>1123015</v>
      </c>
      <c r="R401" s="4" t="n">
        <f aca="false">Q401-MAX(0,MAX($Q$2:Q401))</f>
        <v>0</v>
      </c>
    </row>
    <row r="402" customFormat="false" ht="15" hidden="false" customHeight="false" outlineLevel="0" collapsed="false">
      <c r="A402" s="7" t="n">
        <v>46049</v>
      </c>
      <c r="B402" s="8" t="n">
        <f aca="false">YEAR(A402)</f>
        <v>2026</v>
      </c>
      <c r="C402" s="8" t="n">
        <f aca="false">MONTH(A402)</f>
        <v>1</v>
      </c>
      <c r="D402" s="8" t="s">
        <v>38</v>
      </c>
      <c r="E402" s="9" t="n">
        <v>25063.4</v>
      </c>
      <c r="F402" s="10" t="n">
        <v>14.19</v>
      </c>
      <c r="G402" s="11" t="n">
        <v>210.8</v>
      </c>
      <c r="H402" s="4" t="n">
        <v>4428</v>
      </c>
      <c r="I402" s="8" t="n">
        <v>1</v>
      </c>
      <c r="J402" s="11" t="n">
        <v>207.5</v>
      </c>
      <c r="K402" s="4" t="n">
        <v>4554</v>
      </c>
      <c r="L402" s="8" t="n">
        <v>1</v>
      </c>
      <c r="M402" s="11" t="n">
        <v>200</v>
      </c>
      <c r="N402" s="4" t="n">
        <v>1493</v>
      </c>
      <c r="O402" s="8" t="n">
        <v>1</v>
      </c>
      <c r="P402" s="4" t="n">
        <f aca="false">H402+K402+N402</f>
        <v>10475</v>
      </c>
      <c r="Q402" s="4" t="n">
        <f aca="false">Q401+P402</f>
        <v>1133490</v>
      </c>
      <c r="R402" s="4" t="n">
        <f aca="false">Q402-MAX(0,MAX($Q$2:Q402))</f>
        <v>0</v>
      </c>
    </row>
    <row r="403" customFormat="false" ht="15" hidden="false" customHeight="false" outlineLevel="0" collapsed="false">
      <c r="A403" s="7" t="n">
        <v>46056</v>
      </c>
      <c r="B403" s="8" t="n">
        <f aca="false">YEAR(A403)</f>
        <v>2026</v>
      </c>
      <c r="C403" s="8" t="n">
        <f aca="false">MONTH(A403)</f>
        <v>2</v>
      </c>
      <c r="D403" s="8" t="s">
        <v>38</v>
      </c>
      <c r="E403" s="9" t="n">
        <v>26308</v>
      </c>
      <c r="F403" s="10" t="n">
        <v>13.87</v>
      </c>
      <c r="G403" s="11" t="n">
        <v>374</v>
      </c>
      <c r="H403" s="4" t="n">
        <v>8155</v>
      </c>
      <c r="I403" s="8" t="n">
        <v>1</v>
      </c>
      <c r="J403" s="11" t="n">
        <v>366</v>
      </c>
      <c r="K403" s="4" t="n">
        <v>6801</v>
      </c>
      <c r="L403" s="8" t="n">
        <v>1</v>
      </c>
      <c r="M403" s="11" t="n">
        <v>349.4</v>
      </c>
      <c r="N403" s="4" t="n">
        <v>5438</v>
      </c>
      <c r="O403" s="8" t="n">
        <v>1</v>
      </c>
      <c r="P403" s="4" t="n">
        <f aca="false">H403+K403+N403</f>
        <v>20394</v>
      </c>
      <c r="Q403" s="4" t="n">
        <f aca="false">Q402+P403</f>
        <v>1153884</v>
      </c>
      <c r="R403" s="4" t="n">
        <f aca="false">Q403-MAX(0,MAX($Q$2:Q403))</f>
        <v>0</v>
      </c>
    </row>
    <row r="404" customFormat="false" ht="15" hidden="false" customHeight="false" outlineLevel="0" collapsed="false">
      <c r="A404" s="7" t="n">
        <v>46063</v>
      </c>
      <c r="B404" s="8" t="n">
        <f aca="false">YEAR(A404)</f>
        <v>2026</v>
      </c>
      <c r="C404" s="8" t="n">
        <f aca="false">MONTH(A404)</f>
        <v>2</v>
      </c>
      <c r="D404" s="8" t="s">
        <v>38</v>
      </c>
      <c r="E404" s="9" t="n">
        <v>25922.6</v>
      </c>
      <c r="F404" s="10" t="n">
        <v>12.19</v>
      </c>
      <c r="G404" s="11" t="n">
        <v>122.7</v>
      </c>
      <c r="H404" s="4" t="n">
        <v>1848</v>
      </c>
      <c r="I404" s="8" t="n">
        <v>1</v>
      </c>
      <c r="J404" s="11" t="n">
        <v>120.4</v>
      </c>
      <c r="K404" s="4" t="n">
        <v>5784</v>
      </c>
      <c r="L404" s="8" t="n">
        <v>0</v>
      </c>
      <c r="M404" s="11" t="n">
        <v>115.5</v>
      </c>
      <c r="N404" s="4" t="n">
        <v>5469</v>
      </c>
      <c r="O404" s="8" t="n">
        <v>0</v>
      </c>
      <c r="P404" s="4" t="n">
        <f aca="false">H404+K404+N404</f>
        <v>13101</v>
      </c>
      <c r="Q404" s="4" t="n">
        <f aca="false">Q403+P404</f>
        <v>1166985</v>
      </c>
      <c r="R404" s="4" t="n">
        <f aca="false">Q404-MAX(0,MAX($Q$2:Q404))</f>
        <v>0</v>
      </c>
    </row>
    <row r="405" customFormat="false" ht="15" hidden="false" customHeight="false" outlineLevel="0" collapsed="false">
      <c r="A405" s="7" t="n">
        <v>46070</v>
      </c>
      <c r="B405" s="8" t="n">
        <f aca="false">YEAR(A405)</f>
        <v>2026</v>
      </c>
      <c r="C405" s="8" t="n">
        <f aca="false">MONTH(A405)</f>
        <v>2</v>
      </c>
      <c r="D405" s="8" t="s">
        <v>38</v>
      </c>
      <c r="E405" s="9" t="n">
        <v>25638</v>
      </c>
      <c r="F405" s="10" t="n">
        <v>13.33</v>
      </c>
      <c r="G405" s="11" t="n">
        <v>155.5</v>
      </c>
      <c r="H405" s="4" t="n">
        <v>3391</v>
      </c>
      <c r="I405" s="8" t="n">
        <v>1</v>
      </c>
      <c r="J405" s="11" t="n">
        <v>153.6</v>
      </c>
      <c r="K405" s="4" t="n">
        <v>2330</v>
      </c>
      <c r="L405" s="8" t="n">
        <v>1</v>
      </c>
      <c r="M405" s="11" t="n">
        <v>147.1</v>
      </c>
      <c r="N405" s="4" t="n">
        <v>2261</v>
      </c>
      <c r="O405" s="8" t="n">
        <v>1</v>
      </c>
      <c r="P405" s="4" t="n">
        <f aca="false">H405+K405+N405</f>
        <v>7982</v>
      </c>
      <c r="Q405" s="4" t="n">
        <f aca="false">Q404+P405</f>
        <v>1174967</v>
      </c>
      <c r="R405" s="4" t="n">
        <f aca="false">Q405-MAX(0,MAX($Q$2:Q405))</f>
        <v>0</v>
      </c>
    </row>
    <row r="406" customFormat="false" ht="15" hidden="false" customHeight="false" outlineLevel="0" collapsed="false">
      <c r="A406" s="7" t="n">
        <v>46077</v>
      </c>
      <c r="B406" s="8" t="n">
        <f aca="false">YEAR(A406)</f>
        <v>2026</v>
      </c>
      <c r="C406" s="8" t="n">
        <f aca="false">MONTH(A406)</f>
        <v>2</v>
      </c>
      <c r="D406" s="8" t="s">
        <v>38</v>
      </c>
      <c r="E406" s="9" t="n">
        <v>25641.8</v>
      </c>
      <c r="F406" s="10" t="n">
        <v>14.17</v>
      </c>
      <c r="G406" s="11" t="n">
        <v>153.9</v>
      </c>
      <c r="H406" s="4" t="n">
        <v>4120</v>
      </c>
      <c r="I406" s="8" t="n">
        <v>1</v>
      </c>
      <c r="J406" s="11" t="n">
        <v>150.7</v>
      </c>
      <c r="K406" s="4" t="n">
        <v>3915</v>
      </c>
      <c r="L406" s="8" t="n">
        <v>1</v>
      </c>
      <c r="M406" s="11" t="n">
        <v>144.2</v>
      </c>
      <c r="N406" s="4" t="n">
        <v>3768</v>
      </c>
      <c r="O406" s="8" t="n">
        <v>1</v>
      </c>
      <c r="P406" s="4" t="n">
        <f aca="false">H406+K406+N406</f>
        <v>11803</v>
      </c>
      <c r="Q406" s="4" t="n">
        <f aca="false">Q405+P406</f>
        <v>1186770</v>
      </c>
      <c r="R406" s="4" t="n">
        <f aca="false">Q406-MAX(0,MAX($Q$2:Q406))</f>
        <v>0</v>
      </c>
    </row>
    <row r="407" customFormat="false" ht="15" hidden="false" customHeight="false" outlineLevel="0" collapsed="false">
      <c r="A407" s="7" t="n">
        <v>46083</v>
      </c>
      <c r="B407" s="8" t="n">
        <f aca="false">YEAR(A407)</f>
        <v>2026</v>
      </c>
      <c r="C407" s="8" t="n">
        <f aca="false">MONTH(A407)</f>
        <v>3</v>
      </c>
      <c r="D407" s="8" t="s">
        <v>39</v>
      </c>
      <c r="E407" s="9" t="n">
        <v>24659.2</v>
      </c>
      <c r="F407" s="10" t="n">
        <v>13.7</v>
      </c>
      <c r="G407" s="11" t="n">
        <v>337.6</v>
      </c>
      <c r="H407" s="4" t="n">
        <v>5578</v>
      </c>
      <c r="I407" s="8" t="n">
        <v>1</v>
      </c>
      <c r="J407" s="11" t="n">
        <v>332.4</v>
      </c>
      <c r="K407" s="4" t="n">
        <v>6007</v>
      </c>
      <c r="L407" s="8" t="n">
        <v>1</v>
      </c>
      <c r="M407" s="11" t="n">
        <v>316.6</v>
      </c>
      <c r="N407" s="4" t="n">
        <v>4608</v>
      </c>
      <c r="O407" s="8" t="n">
        <v>1</v>
      </c>
      <c r="P407" s="4" t="n">
        <f aca="false">H407+K407+N407</f>
        <v>16193</v>
      </c>
      <c r="Q407" s="4" t="n">
        <f aca="false">Q406+P407</f>
        <v>1202963</v>
      </c>
      <c r="R407" s="4" t="n">
        <f aca="false">Q407-MAX(0,MAX($Q$2:Q407))</f>
        <v>0</v>
      </c>
    </row>
    <row r="408" customFormat="false" ht="15" hidden="false" customHeight="false" outlineLevel="0" collapsed="false">
      <c r="A408" s="7" t="n">
        <v>46091</v>
      </c>
      <c r="B408" s="8" t="n">
        <f aca="false">YEAR(A408)</f>
        <v>2026</v>
      </c>
      <c r="C408" s="8" t="n">
        <f aca="false">MONTH(A408)</f>
        <v>3</v>
      </c>
      <c r="D408" s="8" t="s">
        <v>38</v>
      </c>
      <c r="E408" s="9" t="n">
        <v>24280.8</v>
      </c>
      <c r="F408" s="10" t="n">
        <v>23.36</v>
      </c>
      <c r="G408" s="11" t="n">
        <v>264.7</v>
      </c>
      <c r="H408" s="4" t="n">
        <v>9759</v>
      </c>
      <c r="I408" s="8" t="n">
        <v>0</v>
      </c>
      <c r="J408" s="11" t="n">
        <v>260.7</v>
      </c>
      <c r="K408" s="4" t="n">
        <v>4269</v>
      </c>
      <c r="L408" s="8" t="n">
        <v>1</v>
      </c>
      <c r="M408" s="11" t="n">
        <v>248.9</v>
      </c>
      <c r="N408" s="4" t="n">
        <v>5795</v>
      </c>
      <c r="O408" s="8" t="n">
        <v>1</v>
      </c>
      <c r="P408" s="4" t="n">
        <f aca="false">H408+K408+N408</f>
        <v>19823</v>
      </c>
      <c r="Q408" s="4" t="n">
        <f aca="false">Q407+P408</f>
        <v>1222786</v>
      </c>
      <c r="R408" s="4" t="n">
        <f aca="false">Q408-MAX(0,MAX($Q$2:Q408))</f>
        <v>0</v>
      </c>
    </row>
    <row r="409" customFormat="false" ht="15" hidden="false" customHeight="false" outlineLevel="0" collapsed="false">
      <c r="A409" s="7" t="n">
        <v>46098</v>
      </c>
      <c r="B409" s="8" t="n">
        <f aca="false">YEAR(A409)</f>
        <v>2026</v>
      </c>
      <c r="C409" s="8" t="n">
        <f aca="false">MONTH(A409)</f>
        <v>3</v>
      </c>
      <c r="D409" s="8" t="s">
        <v>38</v>
      </c>
      <c r="E409" s="9" t="n">
        <v>23493.2</v>
      </c>
      <c r="F409" s="10" t="n">
        <v>21.6</v>
      </c>
      <c r="G409" s="11" t="n">
        <v>243.8</v>
      </c>
      <c r="H409" s="4" t="n">
        <v>5714</v>
      </c>
      <c r="I409" s="8" t="n">
        <v>1</v>
      </c>
      <c r="J409" s="11" t="n">
        <v>239.3</v>
      </c>
      <c r="K409" s="4" t="n">
        <v>5248</v>
      </c>
      <c r="L409" s="8" t="n">
        <v>1</v>
      </c>
      <c r="M409" s="11" t="n">
        <v>230.5</v>
      </c>
      <c r="N409" s="4" t="n">
        <v>-1418</v>
      </c>
      <c r="O409" s="8" t="n">
        <v>1</v>
      </c>
      <c r="P409" s="4" t="n">
        <f aca="false">H409+K409+N409</f>
        <v>9544</v>
      </c>
      <c r="Q409" s="4" t="n">
        <f aca="false">Q408+P409</f>
        <v>1232330</v>
      </c>
      <c r="R409" s="4" t="n">
        <f aca="false">Q409-MAX(0,MAX($Q$2:Q409))</f>
        <v>0</v>
      </c>
    </row>
    <row r="410" customFormat="false" ht="15" hidden="false" customHeight="false" outlineLevel="0" collapsed="false">
      <c r="A410" s="7" t="n">
        <v>46105</v>
      </c>
      <c r="B410" s="8" t="n">
        <f aca="false">YEAR(A410)</f>
        <v>2026</v>
      </c>
      <c r="C410" s="8" t="n">
        <f aca="false">MONTH(A410)</f>
        <v>3</v>
      </c>
      <c r="D410" s="8" t="s">
        <v>38</v>
      </c>
      <c r="E410" s="9" t="n">
        <v>22878.4</v>
      </c>
      <c r="F410" s="10" t="n">
        <v>26.73</v>
      </c>
      <c r="G410" s="11" t="n">
        <v>290.9</v>
      </c>
      <c r="H410" s="4" t="n">
        <v>-6179</v>
      </c>
      <c r="I410" s="8" t="n">
        <v>2</v>
      </c>
      <c r="J410" s="11" t="n">
        <v>286.2</v>
      </c>
      <c r="K410" s="4" t="n">
        <v>-6084</v>
      </c>
      <c r="L410" s="8" t="n">
        <v>2</v>
      </c>
      <c r="M410" s="11" t="n">
        <v>272.3</v>
      </c>
      <c r="N410" s="4" t="n">
        <v>5361</v>
      </c>
      <c r="O410" s="8" t="n">
        <v>1</v>
      </c>
      <c r="P410" s="4" t="n">
        <f aca="false">H410+K410+N410</f>
        <v>-6902</v>
      </c>
      <c r="Q410" s="4" t="n">
        <f aca="false">Q409+P410</f>
        <v>1225428</v>
      </c>
      <c r="R410" s="4" t="n">
        <f aca="false">Q410-MAX(0,MAX($Q$2:Q410))</f>
        <v>-6902</v>
      </c>
    </row>
    <row r="411" customFormat="false" ht="15" hidden="false" customHeight="false" outlineLevel="0" collapsed="false">
      <c r="A411" s="7" t="n">
        <v>46111</v>
      </c>
      <c r="B411" s="8" t="n">
        <f aca="false">YEAR(A411)</f>
        <v>2026</v>
      </c>
      <c r="C411" s="8" t="n">
        <f aca="false">MONTH(A411)</f>
        <v>3</v>
      </c>
      <c r="D411" s="8" t="s">
        <v>39</v>
      </c>
      <c r="E411" s="9" t="n">
        <v>22549.6</v>
      </c>
      <c r="F411" s="10" t="n">
        <v>26.8</v>
      </c>
      <c r="G411" s="11" t="n">
        <v>369.4</v>
      </c>
      <c r="H411" s="4" t="n">
        <v>-3618</v>
      </c>
      <c r="I411" s="8" t="n">
        <v>1</v>
      </c>
      <c r="J411" s="11" t="n">
        <v>365.7</v>
      </c>
      <c r="K411" s="4" t="n">
        <v>7349</v>
      </c>
      <c r="L411" s="8" t="n">
        <v>1</v>
      </c>
      <c r="M411" s="11" t="n">
        <v>349.1</v>
      </c>
      <c r="N411" s="4" t="n">
        <v>7751</v>
      </c>
      <c r="O411" s="8" t="n">
        <v>1</v>
      </c>
      <c r="P411" s="4" t="n">
        <f aca="false">H411+K411+N411</f>
        <v>11482</v>
      </c>
      <c r="Q411" s="4" t="n">
        <f aca="false">Q410+P411</f>
        <v>1236910</v>
      </c>
      <c r="R411" s="4" t="n">
        <f aca="false">Q411-MAX(0,MAX($Q$2:Q411))</f>
        <v>0</v>
      </c>
    </row>
    <row r="412" customFormat="false" ht="15" hidden="false" customHeight="false" outlineLevel="0" collapsed="false">
      <c r="A412" s="7" t="n">
        <v>46119</v>
      </c>
      <c r="B412" s="8" t="n">
        <f aca="false">YEAR(A412)</f>
        <v>2026</v>
      </c>
      <c r="C412" s="8" t="n">
        <f aca="false">MONTH(A412)</f>
        <v>4</v>
      </c>
      <c r="D412" s="8" t="s">
        <v>38</v>
      </c>
      <c r="E412" s="9" t="n">
        <v>22838.7</v>
      </c>
      <c r="F412" s="10" t="n">
        <v>25.47</v>
      </c>
      <c r="G412" s="11" t="n">
        <v>244.4</v>
      </c>
      <c r="H412" s="4" t="n">
        <v>5323</v>
      </c>
      <c r="I412" s="8" t="n">
        <v>1</v>
      </c>
      <c r="J412" s="11" t="n">
        <v>241</v>
      </c>
      <c r="K412" s="4" t="n">
        <v>4457</v>
      </c>
      <c r="L412" s="8" t="n">
        <v>1</v>
      </c>
      <c r="M412" s="11" t="n">
        <v>231.4</v>
      </c>
      <c r="N412" s="4" t="n">
        <v>-4960</v>
      </c>
      <c r="O412" s="8" t="n">
        <v>2</v>
      </c>
      <c r="P412" s="4" t="n">
        <f aca="false">H412+K412+N412</f>
        <v>4820</v>
      </c>
      <c r="Q412" s="4" t="n">
        <f aca="false">Q411+P412</f>
        <v>1241730</v>
      </c>
      <c r="R412" s="4" t="n">
        <f aca="false">Q412-MAX(0,MAX($Q$2:Q412))</f>
        <v>0</v>
      </c>
    </row>
    <row r="413" customFormat="false" ht="15" hidden="false" customHeight="false" outlineLevel="0" collapsed="false">
      <c r="A413" s="7" t="n">
        <v>46125</v>
      </c>
      <c r="B413" s="8" t="n">
        <f aca="false">YEAR(A413)</f>
        <v>2026</v>
      </c>
      <c r="C413" s="8" t="n">
        <f aca="false">MONTH(A413)</f>
        <v>4</v>
      </c>
      <c r="D413" s="8" t="s">
        <v>39</v>
      </c>
      <c r="E413" s="9" t="n">
        <v>23589.6</v>
      </c>
      <c r="F413" s="10" t="n">
        <v>18.85</v>
      </c>
      <c r="G413" s="11" t="n">
        <v>296.9</v>
      </c>
      <c r="H413" s="4" t="n">
        <v>6805</v>
      </c>
      <c r="I413" s="8" t="n">
        <v>1</v>
      </c>
      <c r="J413" s="11" t="n">
        <v>292.2</v>
      </c>
      <c r="K413" s="4" t="n">
        <v>5354</v>
      </c>
      <c r="L413" s="8" t="n">
        <v>1</v>
      </c>
      <c r="M413" s="11" t="n">
        <v>280.7</v>
      </c>
      <c r="N413" s="4" t="n">
        <v>4819</v>
      </c>
      <c r="O413" s="8" t="n">
        <v>1</v>
      </c>
      <c r="P413" s="4" t="n">
        <f aca="false">H413+K413+N413</f>
        <v>16978</v>
      </c>
      <c r="Q413" s="4" t="n">
        <f aca="false">Q412+P413</f>
        <v>1258708</v>
      </c>
      <c r="R413" s="4" t="n">
        <f aca="false">Q413-MAX(0,MAX($Q$2:Q413))</f>
        <v>0</v>
      </c>
    </row>
    <row r="414" customFormat="false" ht="15" hidden="false" customHeight="false" outlineLevel="0" collapsed="false">
      <c r="A414" s="7" t="n">
        <v>46133</v>
      </c>
      <c r="B414" s="8" t="n">
        <f aca="false">YEAR(A414)</f>
        <v>2026</v>
      </c>
      <c r="C414" s="8" t="n">
        <f aca="false">MONTH(A414)</f>
        <v>4</v>
      </c>
      <c r="D414" s="8" t="s">
        <v>38</v>
      </c>
      <c r="E414" s="9" t="n">
        <v>24374.6</v>
      </c>
      <c r="F414" s="10" t="n">
        <v>18.79</v>
      </c>
      <c r="G414" s="11" t="n">
        <v>230.1</v>
      </c>
      <c r="H414" s="4" t="n">
        <v>4048</v>
      </c>
      <c r="I414" s="8" t="n">
        <v>1</v>
      </c>
      <c r="J414" s="11" t="n">
        <v>225.9</v>
      </c>
      <c r="K414" s="4" t="n">
        <v>4058</v>
      </c>
      <c r="L414" s="8" t="n">
        <v>1</v>
      </c>
      <c r="M414" s="11" t="n">
        <v>216.9</v>
      </c>
      <c r="N414" s="4" t="n">
        <v>8668</v>
      </c>
      <c r="O414" s="8" t="n">
        <v>0</v>
      </c>
      <c r="P414" s="4" t="n">
        <f aca="false">H414+K414+N414</f>
        <v>16774</v>
      </c>
      <c r="Q414" s="4" t="n">
        <f aca="false">Q413+P414</f>
        <v>1275482</v>
      </c>
      <c r="R414" s="4" t="n">
        <f aca="false">Q414-MAX(0,MAX($Q$2:Q414))</f>
        <v>0</v>
      </c>
    </row>
    <row r="415" customFormat="false" ht="15" hidden="false" customHeight="false" outlineLevel="0" collapsed="false">
      <c r="A415" s="7" t="n">
        <v>46140</v>
      </c>
      <c r="B415" s="8" t="n">
        <f aca="false">YEAR(A415)</f>
        <v>2026</v>
      </c>
      <c r="C415" s="8" t="n">
        <f aca="false">MONTH(A415)</f>
        <v>4</v>
      </c>
      <c r="D415" s="8" t="s">
        <v>38</v>
      </c>
      <c r="E415" s="9" t="n">
        <v>24049.9</v>
      </c>
      <c r="F415" s="10" t="n">
        <v>18.38</v>
      </c>
      <c r="G415" s="11" t="n">
        <v>157.4</v>
      </c>
      <c r="H415" s="4" t="n">
        <v>-3446</v>
      </c>
      <c r="I415" s="8" t="n">
        <v>2</v>
      </c>
      <c r="J415" s="11" t="n">
        <v>154.9</v>
      </c>
      <c r="K415" s="4" t="n">
        <v>-3396</v>
      </c>
      <c r="L415" s="8" t="n">
        <v>2</v>
      </c>
      <c r="M415" s="11" t="n">
        <v>148.5</v>
      </c>
      <c r="N415" s="4" t="n">
        <v>3540</v>
      </c>
      <c r="O415" s="8" t="n">
        <v>1</v>
      </c>
      <c r="P415" s="4" t="n">
        <f aca="false">H415+K415+N415</f>
        <v>-3302</v>
      </c>
      <c r="Q415" s="4" t="n">
        <f aca="false">Q414+P415</f>
        <v>1272180</v>
      </c>
      <c r="R415" s="4" t="n">
        <f aca="false">Q415-MAX(0,MAX($Q$2:Q415))</f>
        <v>-3302</v>
      </c>
    </row>
    <row r="416" customFormat="false" ht="15" hidden="false" customHeight="false" outlineLevel="0" collapsed="false">
      <c r="A416" s="7" t="n">
        <v>46147</v>
      </c>
      <c r="B416" s="8" t="n">
        <f aca="false">YEAR(A416)</f>
        <v>2026</v>
      </c>
      <c r="C416" s="8" t="n">
        <f aca="false">MONTH(A416)</f>
        <v>5</v>
      </c>
      <c r="D416" s="8" t="s">
        <v>38</v>
      </c>
      <c r="E416" s="9" t="n">
        <v>24052.6</v>
      </c>
      <c r="F416" s="10" t="n">
        <v>18.3</v>
      </c>
      <c r="G416" s="11" t="n">
        <v>166</v>
      </c>
      <c r="H416" s="4" t="n">
        <v>2350</v>
      </c>
      <c r="I416" s="8" t="n">
        <v>1</v>
      </c>
      <c r="J416" s="11" t="n">
        <v>162.9</v>
      </c>
      <c r="K416" s="4" t="n">
        <v>2462</v>
      </c>
      <c r="L416" s="8" t="n">
        <v>1</v>
      </c>
      <c r="M416" s="11" t="n">
        <v>156.2</v>
      </c>
      <c r="N416" s="4" t="n">
        <v>1012</v>
      </c>
      <c r="O416" s="8" t="n">
        <v>1</v>
      </c>
      <c r="P416" s="4" t="n">
        <f aca="false">H416+K416+N416</f>
        <v>5824</v>
      </c>
      <c r="Q416" s="4" t="n">
        <f aca="false">Q415+P416</f>
        <v>1278004</v>
      </c>
      <c r="R416" s="4" t="n">
        <f aca="false">Q416-MAX(0,MAX($Q$2:Q416))</f>
        <v>0</v>
      </c>
    </row>
    <row r="417" customFormat="false" ht="15" hidden="false" customHeight="false" outlineLevel="0" collapsed="false">
      <c r="A417" s="7" t="n">
        <v>46154</v>
      </c>
      <c r="B417" s="8" t="n">
        <f aca="false">YEAR(A417)</f>
        <v>2026</v>
      </c>
      <c r="C417" s="8" t="n">
        <f aca="false">MONTH(A417)</f>
        <v>5</v>
      </c>
      <c r="D417" s="8" t="s">
        <v>38</v>
      </c>
      <c r="E417" s="9" t="n">
        <v>23722.6</v>
      </c>
      <c r="F417" s="10" t="n">
        <v>18.55</v>
      </c>
      <c r="G417" s="11" t="n">
        <v>187.7</v>
      </c>
      <c r="H417" s="4" t="n">
        <v>4917</v>
      </c>
      <c r="I417" s="8" t="n">
        <v>1</v>
      </c>
      <c r="J417" s="11" t="n">
        <v>183.1</v>
      </c>
      <c r="K417" s="4" t="n">
        <v>3436</v>
      </c>
      <c r="L417" s="8" t="n">
        <v>1</v>
      </c>
      <c r="M417" s="11" t="n">
        <v>175.4</v>
      </c>
      <c r="N417" s="4" t="n">
        <v>3065</v>
      </c>
      <c r="O417" s="8" t="n">
        <v>1</v>
      </c>
      <c r="P417" s="4" t="n">
        <f aca="false">H417+K417+N417</f>
        <v>11418</v>
      </c>
      <c r="Q417" s="4" t="n">
        <f aca="false">Q416+P417</f>
        <v>1289422</v>
      </c>
      <c r="R417" s="4" t="n">
        <f aca="false">Q417-MAX(0,MAX($Q$2:Q417))</f>
        <v>0</v>
      </c>
    </row>
    <row r="418" customFormat="false" ht="15" hidden="false" customHeight="false" outlineLevel="0" collapsed="false">
      <c r="A418" s="7" t="n">
        <v>46161</v>
      </c>
      <c r="B418" s="8" t="n">
        <f aca="false">YEAR(A418)</f>
        <v>2026</v>
      </c>
      <c r="C418" s="8" t="n">
        <f aca="false">MONTH(A418)</f>
        <v>5</v>
      </c>
      <c r="D418" s="8" t="s">
        <v>38</v>
      </c>
      <c r="E418" s="9" t="n">
        <v>23675.3</v>
      </c>
      <c r="F418" s="10" t="n">
        <v>19.63</v>
      </c>
      <c r="G418" s="11" t="n">
        <v>190.3</v>
      </c>
      <c r="H418" s="4" t="n">
        <v>3193</v>
      </c>
      <c r="I418" s="8" t="n">
        <v>1</v>
      </c>
      <c r="J418" s="11" t="n">
        <v>186.1</v>
      </c>
      <c r="K418" s="4" t="n">
        <v>-677</v>
      </c>
      <c r="L418" s="8" t="n">
        <v>1</v>
      </c>
      <c r="M418" s="11" t="n">
        <v>178</v>
      </c>
      <c r="N418" s="4" t="n">
        <v>-1456</v>
      </c>
      <c r="O418" s="8" t="n">
        <v>1</v>
      </c>
      <c r="P418" s="4" t="n">
        <f aca="false">H418+K418+N418</f>
        <v>1060</v>
      </c>
      <c r="Q418" s="4" t="n">
        <f aca="false">Q417+P418</f>
        <v>1290482</v>
      </c>
      <c r="R418" s="4" t="n">
        <f aca="false">Q418-MAX(0,MAX($Q$2:Q418))</f>
        <v>0</v>
      </c>
    </row>
    <row r="419" customFormat="false" ht="15" hidden="false" customHeight="false" outlineLevel="0" collapsed="false">
      <c r="A419" s="7" t="n">
        <v>46168</v>
      </c>
      <c r="B419" s="8" t="n">
        <f aca="false">YEAR(A419)</f>
        <v>2026</v>
      </c>
      <c r="C419" s="8" t="n">
        <f aca="false">MONTH(A419)</f>
        <v>5</v>
      </c>
      <c r="D419" s="8" t="s">
        <v>38</v>
      </c>
      <c r="E419" s="9" t="n">
        <v>24004.1</v>
      </c>
      <c r="F419" s="10" t="n">
        <v>16.7</v>
      </c>
      <c r="G419" s="11" t="n">
        <v>138.9</v>
      </c>
      <c r="H419" s="4" t="n">
        <v>-3067</v>
      </c>
      <c r="I419" s="8" t="n">
        <v>2</v>
      </c>
      <c r="J419" s="11" t="n">
        <v>135.5</v>
      </c>
      <c r="K419" s="4" t="n">
        <v>-2998</v>
      </c>
      <c r="L419" s="8" t="n">
        <v>2</v>
      </c>
      <c r="M419" s="11" t="n">
        <v>129.3</v>
      </c>
      <c r="N419" s="4" t="n">
        <v>2846</v>
      </c>
      <c r="O419" s="8" t="n">
        <v>1</v>
      </c>
      <c r="P419" s="4" t="n">
        <f aca="false">H419+K419+N419</f>
        <v>-3219</v>
      </c>
      <c r="Q419" s="4" t="n">
        <f aca="false">Q418+P419</f>
        <v>1287263</v>
      </c>
      <c r="R419" s="4" t="n">
        <f aca="false">Q419-MAX(0,MAX($Q$2:Q419))</f>
        <v>-3219</v>
      </c>
    </row>
    <row r="420" customFormat="false" ht="15" hidden="false" customHeight="false" outlineLevel="0" collapsed="false">
      <c r="A420" s="7" t="n">
        <v>46175</v>
      </c>
      <c r="B420" s="8" t="n">
        <f aca="false">YEAR(A420)</f>
        <v>2026</v>
      </c>
      <c r="C420" s="8" t="n">
        <f aca="false">MONTH(A420)</f>
        <v>6</v>
      </c>
      <c r="D420" s="8" t="s">
        <v>38</v>
      </c>
      <c r="E420" s="9" t="n">
        <v>23229.2</v>
      </c>
      <c r="F420" s="10" t="n">
        <v>16.54</v>
      </c>
      <c r="G420" s="11" t="n">
        <v>150.9</v>
      </c>
      <c r="H420" s="4" t="n">
        <v>3781</v>
      </c>
      <c r="I420" s="8" t="n">
        <v>1</v>
      </c>
      <c r="J420" s="11" t="n">
        <v>148</v>
      </c>
      <c r="K420" s="4" t="n">
        <v>3556</v>
      </c>
      <c r="L420" s="8" t="n">
        <v>1</v>
      </c>
      <c r="M420" s="11" t="n">
        <v>142.7</v>
      </c>
      <c r="N420" s="4" t="n">
        <v>-3146</v>
      </c>
      <c r="O420" s="8" t="n">
        <v>2</v>
      </c>
      <c r="P420" s="4" t="n">
        <f aca="false">H420+K420+N420</f>
        <v>4191</v>
      </c>
      <c r="Q420" s="4" t="n">
        <f aca="false">Q419+P420</f>
        <v>1291454</v>
      </c>
      <c r="R420" s="4" t="n">
        <f aca="false">Q420-MAX(0,MAX($Q$2:Q420))</f>
        <v>0</v>
      </c>
    </row>
    <row r="421" customFormat="false" ht="15" hidden="false" customHeight="false" outlineLevel="0" collapsed="false">
      <c r="A421" s="7" t="n">
        <v>46182</v>
      </c>
      <c r="B421" s="8" t="n">
        <f aca="false">YEAR(A421)</f>
        <v>2026</v>
      </c>
      <c r="C421" s="8" t="n">
        <f aca="false">MONTH(A421)</f>
        <v>6</v>
      </c>
      <c r="D421" s="8" t="s">
        <v>38</v>
      </c>
      <c r="E421" s="9" t="n">
        <v>23259</v>
      </c>
      <c r="F421" s="10" t="n">
        <v>17.03</v>
      </c>
      <c r="G421" s="11" t="n">
        <v>163.3</v>
      </c>
      <c r="H421" s="4" t="n">
        <v>2038</v>
      </c>
      <c r="I421" s="8" t="n">
        <v>1</v>
      </c>
      <c r="J421" s="11" t="n">
        <v>160.1</v>
      </c>
      <c r="K421" s="4" t="n">
        <v>2263</v>
      </c>
      <c r="L421" s="8" t="n">
        <v>1</v>
      </c>
      <c r="M421" s="11" t="n">
        <v>153.7</v>
      </c>
      <c r="N421" s="4" t="n">
        <v>-3371</v>
      </c>
      <c r="O421" s="8" t="n">
        <v>2</v>
      </c>
      <c r="P421" s="4" t="n">
        <f aca="false">H421+K421+N421</f>
        <v>930</v>
      </c>
      <c r="Q421" s="4" t="n">
        <f aca="false">Q420+P421</f>
        <v>1292384</v>
      </c>
      <c r="R421" s="4" t="n">
        <f aca="false">Q421-MAX(0,MAX($Q$2:Q421))</f>
        <v>0</v>
      </c>
    </row>
    <row r="422" customFormat="false" ht="15" hidden="false" customHeight="false" outlineLevel="0" collapsed="false">
      <c r="A422" s="7" t="n">
        <v>46189</v>
      </c>
      <c r="B422" s="8" t="n">
        <f aca="false">YEAR(A422)</f>
        <v>2026</v>
      </c>
      <c r="C422" s="8" t="n">
        <f aca="false">MONTH(A422)</f>
        <v>6</v>
      </c>
      <c r="D422" s="8" t="s">
        <v>38</v>
      </c>
      <c r="E422" s="9" t="n">
        <v>23923.9</v>
      </c>
      <c r="F422" s="10" t="n">
        <v>14.35</v>
      </c>
      <c r="G422" s="11" t="n">
        <v>128.4</v>
      </c>
      <c r="H422" s="4" t="n">
        <v>1937</v>
      </c>
      <c r="I422" s="8" t="n">
        <v>1</v>
      </c>
      <c r="J422" s="11" t="n">
        <v>125.7</v>
      </c>
      <c r="K422" s="4" t="n">
        <v>-56</v>
      </c>
      <c r="L422" s="8" t="n">
        <v>1</v>
      </c>
      <c r="M422" s="11" t="n">
        <v>120.4</v>
      </c>
      <c r="N422" s="4" t="n">
        <v>1956</v>
      </c>
      <c r="O422" s="8" t="n">
        <v>1</v>
      </c>
      <c r="P422" s="4" t="n">
        <f aca="false">H422+K422+N422</f>
        <v>3837</v>
      </c>
      <c r="Q422" s="4" t="n">
        <f aca="false">Q421+P422</f>
        <v>1296221</v>
      </c>
      <c r="R422" s="4" t="n">
        <f aca="false">Q422-MAX(0,MAX($Q$2:Q422))</f>
        <v>0</v>
      </c>
    </row>
    <row r="423" customFormat="false" ht="15" hidden="false" customHeight="false" outlineLevel="0" collapsed="false">
      <c r="A423" s="7" t="n">
        <v>46196</v>
      </c>
      <c r="B423" s="8" t="n">
        <f aca="false">YEAR(A423)</f>
        <v>2026</v>
      </c>
      <c r="C423" s="8" t="n">
        <f aca="false">MONTH(A423)</f>
        <v>6</v>
      </c>
      <c r="D423" s="8" t="s">
        <v>38</v>
      </c>
      <c r="E423" s="9" t="n">
        <v>24071.3</v>
      </c>
      <c r="F423" s="10" t="n">
        <v>12.84</v>
      </c>
      <c r="G423" s="11" t="n">
        <v>104.1</v>
      </c>
      <c r="H423" s="4" t="n">
        <v>-2356</v>
      </c>
      <c r="I423" s="8" t="n">
        <v>2</v>
      </c>
      <c r="J423" s="11" t="n">
        <v>102.3</v>
      </c>
      <c r="K423" s="4" t="n">
        <v>2448</v>
      </c>
      <c r="L423" s="8" t="n">
        <v>1</v>
      </c>
      <c r="M423" s="11" t="n">
        <v>99</v>
      </c>
      <c r="N423" s="4" t="n">
        <v>1141</v>
      </c>
      <c r="O423" s="8" t="n">
        <v>1</v>
      </c>
      <c r="P423" s="4" t="n">
        <f aca="false">H423+K423+N423</f>
        <v>1233</v>
      </c>
      <c r="Q423" s="4" t="n">
        <f aca="false">Q422+P423</f>
        <v>1297454</v>
      </c>
      <c r="R423" s="4" t="n">
        <f aca="false">Q423-MAX(0,MAX($Q$2:Q423))</f>
        <v>0</v>
      </c>
    </row>
    <row r="424" customFormat="false" ht="15" hidden="false" customHeight="false" outlineLevel="0" collapsed="false">
      <c r="A424" s="7" t="n">
        <v>46203</v>
      </c>
      <c r="B424" s="8" t="n">
        <f aca="false">YEAR(A424)</f>
        <v>2026</v>
      </c>
      <c r="C424" s="8" t="n">
        <f aca="false">MONTH(A424)</f>
        <v>6</v>
      </c>
      <c r="D424" s="8" t="s">
        <v>38</v>
      </c>
      <c r="E424" s="9" t="n">
        <v>24032</v>
      </c>
      <c r="F424" s="10" t="n">
        <v>13.61</v>
      </c>
      <c r="G424" s="11" t="n">
        <v>126.5</v>
      </c>
      <c r="H424" s="4" t="n">
        <v>-2815</v>
      </c>
      <c r="I424" s="8" t="n">
        <v>2</v>
      </c>
      <c r="J424" s="11" t="n">
        <v>125.1</v>
      </c>
      <c r="K424" s="4" t="n">
        <v>901</v>
      </c>
      <c r="L424" s="8" t="n">
        <v>1</v>
      </c>
      <c r="M424" s="11" t="n">
        <v>119.1</v>
      </c>
      <c r="N424" s="4" t="n">
        <v>-2663</v>
      </c>
      <c r="O424" s="8" t="n">
        <v>2</v>
      </c>
      <c r="P424" s="4" t="n">
        <f aca="false">H424+K424+N424</f>
        <v>-4577</v>
      </c>
      <c r="Q424" s="4" t="n">
        <f aca="false">Q423+P424</f>
        <v>1292877</v>
      </c>
      <c r="R424" s="4" t="n">
        <f aca="false">Q424-MAX(0,MAX($Q$2:Q424))</f>
        <v>-4577</v>
      </c>
    </row>
    <row r="425" customFormat="false" ht="15" hidden="false" customHeight="false" outlineLevel="0" collapsed="false">
      <c r="A425" s="7" t="n">
        <v>46210</v>
      </c>
      <c r="B425" s="8" t="n">
        <f aca="false">YEAR(A425)</f>
        <v>2026</v>
      </c>
      <c r="C425" s="8" t="n">
        <f aca="false">MONTH(A425)</f>
        <v>7</v>
      </c>
      <c r="D425" s="8" t="s">
        <v>38</v>
      </c>
      <c r="E425" s="9" t="n">
        <v>24464.4</v>
      </c>
      <c r="F425" s="10" t="n">
        <v>11.82</v>
      </c>
      <c r="G425" s="11" t="n">
        <v>123.7</v>
      </c>
      <c r="H425" s="4" t="n">
        <v>-2757</v>
      </c>
      <c r="I425" s="8" t="n">
        <v>2</v>
      </c>
      <c r="J425" s="11" t="n">
        <v>121.2</v>
      </c>
      <c r="K425" s="4" t="n">
        <v>-204</v>
      </c>
      <c r="L425" s="8" t="n">
        <v>1</v>
      </c>
      <c r="M425" s="11" t="n">
        <v>116.2</v>
      </c>
      <c r="N425" s="4" t="n">
        <v>-2604</v>
      </c>
      <c r="O425" s="8" t="n">
        <v>2</v>
      </c>
      <c r="P425" s="4" t="n">
        <f aca="false">H425+K425+N425</f>
        <v>-5565</v>
      </c>
      <c r="Q425" s="4" t="n">
        <f aca="false">Q424+P425</f>
        <v>1287312</v>
      </c>
      <c r="R425" s="4" t="n">
        <f aca="false">Q425-MAX(0,MAX($Q$2:Q425))</f>
        <v>-10142</v>
      </c>
    </row>
    <row r="426" customFormat="false" ht="15" hidden="false" customHeight="false" outlineLevel="0" collapsed="false">
      <c r="A426" s="7" t="n">
        <v>46217</v>
      </c>
      <c r="B426" s="8" t="n">
        <f aca="false">YEAR(A426)</f>
        <v>2026</v>
      </c>
      <c r="C426" s="8" t="n">
        <f aca="false">MONTH(A426)</f>
        <v>7</v>
      </c>
      <c r="D426" s="8" t="s">
        <v>38</v>
      </c>
      <c r="E426" s="9" t="n">
        <v>24068</v>
      </c>
      <c r="F426" s="10" t="n">
        <v>13.28</v>
      </c>
      <c r="G426" s="11" t="n">
        <v>147.2</v>
      </c>
      <c r="H426" s="4" t="n">
        <v>2479</v>
      </c>
      <c r="I426" s="8" t="n">
        <v>1</v>
      </c>
      <c r="J426" s="11" t="n">
        <v>144.4</v>
      </c>
      <c r="K426" s="4" t="n">
        <v>2618</v>
      </c>
      <c r="L426" s="8" t="n">
        <v>1</v>
      </c>
      <c r="M426" s="11" t="n">
        <v>137.8</v>
      </c>
      <c r="N426" s="4" t="n">
        <v>-3046</v>
      </c>
      <c r="O426" s="8" t="n">
        <v>2</v>
      </c>
      <c r="P426" s="4" t="n">
        <f aca="false">H426+K426+N426</f>
        <v>2051</v>
      </c>
      <c r="Q426" s="4" t="n">
        <f aca="false">Q425+P426</f>
        <v>1289363</v>
      </c>
      <c r="R426" s="4" t="n">
        <f aca="false">Q426-MAX(0,MAX($Q$2:Q426))</f>
        <v>-8091</v>
      </c>
    </row>
    <row r="427" customFormat="false" ht="15" hidden="false" customHeight="false" outlineLevel="0" collapsed="false">
      <c r="A427" s="7" t="n">
        <v>46224</v>
      </c>
      <c r="B427" s="8" t="n">
        <f aca="false">YEAR(A427)</f>
        <v>2026</v>
      </c>
      <c r="C427" s="8" t="n">
        <f aca="false">MONTH(A427)</f>
        <v>7</v>
      </c>
      <c r="D427" s="8" t="s">
        <v>38</v>
      </c>
      <c r="E427" s="9" t="n">
        <v>24216</v>
      </c>
      <c r="F427" s="10" t="n">
        <v>12.98</v>
      </c>
      <c r="G427" s="11" t="n">
        <v>127.1</v>
      </c>
      <c r="H427" s="4" t="n">
        <v>3149</v>
      </c>
      <c r="I427" s="8" t="n">
        <v>1</v>
      </c>
      <c r="J427" s="11" t="n">
        <v>125</v>
      </c>
      <c r="K427" s="4" t="n">
        <v>1888</v>
      </c>
      <c r="L427" s="8" t="n">
        <v>1</v>
      </c>
      <c r="M427" s="11" t="n">
        <v>120.8</v>
      </c>
      <c r="N427" s="4" t="n">
        <v>3209</v>
      </c>
      <c r="O427" s="8" t="n">
        <v>1</v>
      </c>
      <c r="P427" s="4" t="n">
        <f aca="false">H427+K427+N427</f>
        <v>8246</v>
      </c>
      <c r="Q427" s="4" t="n">
        <f aca="false">Q426+P427</f>
        <v>1297609</v>
      </c>
      <c r="R427" s="4" t="n">
        <f aca="false">Q427-MAX(0,MAX($Q$2:Q427))</f>
        <v>0</v>
      </c>
    </row>
    <row r="428" customFormat="false" ht="15" hidden="false" customHeight="false" outlineLevel="0" collapsed="false">
      <c r="A428" s="7" t="n">
        <v>46231</v>
      </c>
      <c r="B428" s="8" t="n">
        <f aca="false">YEAR(A428)</f>
        <v>2026</v>
      </c>
      <c r="C428" s="8" t="n">
        <f aca="false">MONTH(A428)</f>
        <v>7</v>
      </c>
      <c r="D428" s="8" t="s">
        <v>38</v>
      </c>
      <c r="E428" s="9" t="n">
        <v>23971.2</v>
      </c>
      <c r="F428" s="10" t="n">
        <v>12.66</v>
      </c>
      <c r="G428" s="11" t="n">
        <v>118.8</v>
      </c>
      <c r="H428" s="4" t="n">
        <v>1830</v>
      </c>
      <c r="I428" s="8" t="n">
        <v>1</v>
      </c>
      <c r="J428" s="11" t="n">
        <v>116</v>
      </c>
      <c r="K428" s="4" t="n">
        <v>194</v>
      </c>
      <c r="L428" s="8" t="n">
        <v>1</v>
      </c>
      <c r="M428" s="11" t="n">
        <v>113.2</v>
      </c>
      <c r="N428" s="4" t="n">
        <v>765</v>
      </c>
      <c r="O428" s="8" t="n">
        <v>1</v>
      </c>
      <c r="P428" s="4" t="n">
        <f aca="false">H428+K428+N428</f>
        <v>2789</v>
      </c>
      <c r="Q428" s="4" t="n">
        <f aca="false">Q427+P428</f>
        <v>1300398</v>
      </c>
      <c r="R428" s="4" t="n">
        <f aca="false">Q428-MAX(0,MAX($Q$2:Q428))</f>
        <v>0</v>
      </c>
    </row>
    <row r="429" customFormat="false" ht="15" hidden="false" customHeight="false" outlineLevel="0" collapsed="false">
      <c r="A429" s="7" t="n">
        <v>46238</v>
      </c>
      <c r="B429" s="8" t="n">
        <f aca="false">YEAR(A429)</f>
        <v>2026</v>
      </c>
      <c r="C429" s="8" t="n">
        <f aca="false">MONTH(A429)</f>
        <v>8</v>
      </c>
      <c r="D429" s="8" t="s">
        <v>38</v>
      </c>
      <c r="E429" s="9" t="n">
        <v>24703.9</v>
      </c>
      <c r="F429" s="10" t="n">
        <v>11.93</v>
      </c>
      <c r="G429" s="11" t="n">
        <v>153.3</v>
      </c>
      <c r="H429" s="4" t="n">
        <v>4053</v>
      </c>
      <c r="I429" s="8" t="n">
        <v>1</v>
      </c>
      <c r="J429" s="11" t="n">
        <v>149.6</v>
      </c>
      <c r="K429" s="4" t="n">
        <v>-3287</v>
      </c>
      <c r="L429" s="8" t="n">
        <v>2</v>
      </c>
      <c r="M429" s="11" t="n">
        <v>144</v>
      </c>
      <c r="N429" s="4" t="n">
        <v>2278</v>
      </c>
      <c r="O429" s="8" t="n">
        <v>1</v>
      </c>
      <c r="P429" s="4" t="n">
        <f aca="false">H429+K429+N429</f>
        <v>3044</v>
      </c>
      <c r="Q429" s="4" t="n">
        <f aca="false">Q428+P429</f>
        <v>1303442</v>
      </c>
      <c r="R429" s="4" t="n">
        <f aca="false">Q429-MAX(0,MAX($Q$2:Q429))</f>
        <v>0</v>
      </c>
    </row>
    <row r="430" customFormat="false" ht="15" hidden="false" customHeight="false" outlineLevel="0" collapsed="false">
      <c r="A430" s="7" t="n">
        <v>46245</v>
      </c>
      <c r="B430" s="8" t="n">
        <f aca="false">YEAR(A430)</f>
        <v>2026</v>
      </c>
      <c r="C430" s="8" t="n">
        <f aca="false">MONTH(A430)</f>
        <v>8</v>
      </c>
      <c r="D430" s="8" t="s">
        <v>38</v>
      </c>
      <c r="E430" s="9" t="n">
        <v>24575.1</v>
      </c>
      <c r="F430" s="10" t="n">
        <v>12.25</v>
      </c>
      <c r="G430" s="11" t="n">
        <v>145.1</v>
      </c>
      <c r="H430" s="4" t="n">
        <v>3313</v>
      </c>
      <c r="I430" s="8" t="n">
        <v>1</v>
      </c>
      <c r="J430" s="11" t="n">
        <v>142.4</v>
      </c>
      <c r="K430" s="4" t="n">
        <v>5603</v>
      </c>
      <c r="L430" s="8" t="n">
        <v>0</v>
      </c>
      <c r="M430" s="11" t="n">
        <v>136.3</v>
      </c>
      <c r="N430" s="4" t="n">
        <v>2366</v>
      </c>
      <c r="O430" s="8" t="n">
        <v>1</v>
      </c>
      <c r="P430" s="4" t="n">
        <f aca="false">H430+K430+N430</f>
        <v>11282</v>
      </c>
      <c r="Q430" s="4" t="n">
        <f aca="false">Q429+P430</f>
        <v>1314724</v>
      </c>
      <c r="R430" s="4" t="n">
        <f aca="false">Q430-MAX(0,MAX($Q$2:Q430))</f>
        <v>0</v>
      </c>
    </row>
    <row r="431" customFormat="false" ht="15" hidden="false" customHeight="false" outlineLevel="0" collapsed="false">
      <c r="A431" s="7" t="n">
        <v>46252</v>
      </c>
      <c r="B431" s="8" t="n">
        <f aca="false">YEAR(A431)</f>
        <v>2026</v>
      </c>
      <c r="C431" s="8" t="n">
        <f aca="false">MONTH(A431)</f>
        <v>8</v>
      </c>
      <c r="D431" s="8" t="s">
        <v>38</v>
      </c>
      <c r="E431" s="9" t="n">
        <v>24223.8</v>
      </c>
      <c r="F431" s="10" t="n">
        <v>11.33</v>
      </c>
      <c r="G431" s="11" t="n">
        <v>126.9</v>
      </c>
      <c r="H431" s="4" t="n">
        <v>-2823</v>
      </c>
      <c r="I431" s="8" t="n">
        <v>2</v>
      </c>
      <c r="J431" s="11" t="n">
        <v>124.7</v>
      </c>
      <c r="K431" s="4" t="n">
        <v>2093</v>
      </c>
      <c r="L431" s="8" t="n">
        <v>1</v>
      </c>
      <c r="M431" s="11" t="n">
        <v>121.1</v>
      </c>
      <c r="N431" s="4" t="n">
        <v>3538</v>
      </c>
      <c r="O431" s="8" t="n">
        <v>1</v>
      </c>
      <c r="P431" s="4" t="n">
        <f aca="false">H431+K431+N431</f>
        <v>2808</v>
      </c>
      <c r="Q431" s="4" t="n">
        <f aca="false">Q430+P431</f>
        <v>1317532</v>
      </c>
      <c r="R431" s="4" t="n">
        <f aca="false">Q431-MAX(0,MAX($Q$2:Q431))</f>
        <v>0</v>
      </c>
    </row>
    <row r="432" customFormat="false" ht="15" hidden="false" customHeight="false" outlineLevel="0" collapsed="false">
      <c r="A432" s="7" t="n">
        <v>46259</v>
      </c>
      <c r="B432" s="8" t="n">
        <f aca="false">YEAR(A432)</f>
        <v>2026</v>
      </c>
      <c r="C432" s="8" t="n">
        <f aca="false">MONTH(A432)</f>
        <v>8</v>
      </c>
      <c r="D432" s="8" t="s">
        <v>38</v>
      </c>
      <c r="E432" s="9" t="n">
        <v>24175.8</v>
      </c>
      <c r="F432" s="10" t="n">
        <v>11.53</v>
      </c>
      <c r="G432" s="11" t="n">
        <v>76.1</v>
      </c>
      <c r="H432" s="4" t="n">
        <v>-1783</v>
      </c>
      <c r="I432" s="8" t="n">
        <v>2</v>
      </c>
      <c r="J432" s="11" t="n">
        <v>74.8</v>
      </c>
      <c r="K432" s="4" t="n">
        <v>-1755</v>
      </c>
      <c r="L432" s="8" t="n">
        <v>2</v>
      </c>
      <c r="M432" s="11" t="n">
        <v>71.4</v>
      </c>
      <c r="N432" s="4" t="n">
        <v>-1686</v>
      </c>
      <c r="O432" s="8" t="n">
        <v>2</v>
      </c>
      <c r="P432" s="4" t="n">
        <f aca="false">H432+K432+N432</f>
        <v>-5224</v>
      </c>
      <c r="Q432" s="4" t="n">
        <f aca="false">Q431+P432</f>
        <v>1312308</v>
      </c>
      <c r="R432" s="4" t="n">
        <f aca="false">Q432-MAX(0,MAX($Q$2:Q432))</f>
        <v>-5224</v>
      </c>
    </row>
    <row r="433" customFormat="false" ht="15" hidden="false" customHeight="false" outlineLevel="0" collapsed="false">
      <c r="A433" s="7" t="n">
        <v>46266</v>
      </c>
      <c r="B433" s="8" t="n">
        <f aca="false">YEAR(A433)</f>
        <v>2026</v>
      </c>
      <c r="C433" s="8" t="n">
        <f aca="false">MONTH(A433)</f>
        <v>9</v>
      </c>
      <c r="D433" s="8" t="s">
        <v>38</v>
      </c>
      <c r="E433" s="9" t="n">
        <v>24077.6</v>
      </c>
      <c r="F433" s="10" t="n">
        <v>11.19</v>
      </c>
      <c r="G433" s="11" t="n">
        <v>110.5</v>
      </c>
      <c r="H433" s="4" t="n">
        <v>-2487</v>
      </c>
      <c r="I433" s="8" t="n">
        <v>2</v>
      </c>
      <c r="J433" s="11" t="n">
        <v>110</v>
      </c>
      <c r="K433" s="4" t="n">
        <v>-2476</v>
      </c>
      <c r="L433" s="8" t="n">
        <v>2</v>
      </c>
      <c r="M433" s="11" t="n">
        <v>104.1</v>
      </c>
      <c r="N433" s="4" t="n">
        <v>-2356</v>
      </c>
      <c r="O433" s="8" t="n">
        <v>2</v>
      </c>
      <c r="P433" s="4" t="n">
        <f aca="false">H433+K433+N433</f>
        <v>-7319</v>
      </c>
      <c r="Q433" s="4" t="n">
        <f aca="false">Q432+P433</f>
        <v>1304989</v>
      </c>
      <c r="R433" s="4" t="n">
        <f aca="false">Q433-MAX(0,MAX($Q$2:Q433))</f>
        <v>-12543</v>
      </c>
    </row>
    <row r="434" customFormat="false" ht="15" hidden="false" customHeight="false" outlineLevel="0" collapsed="false">
      <c r="A434" s="7" t="n">
        <v>46273</v>
      </c>
      <c r="B434" s="8" t="n">
        <f aca="false">YEAR(A434)</f>
        <v>2026</v>
      </c>
      <c r="C434" s="8" t="n">
        <f aca="false">MONTH(A434)</f>
        <v>9</v>
      </c>
      <c r="D434" s="8" t="s">
        <v>38</v>
      </c>
      <c r="E434" s="9" t="n">
        <v>23743.1</v>
      </c>
      <c r="F434" s="10" t="n">
        <v>11.16</v>
      </c>
      <c r="G434" s="11" t="n">
        <v>98.6</v>
      </c>
      <c r="H434" s="4" t="n">
        <v>1789</v>
      </c>
      <c r="I434" s="8" t="n">
        <v>1</v>
      </c>
      <c r="J434" s="11" t="n">
        <v>97.8</v>
      </c>
      <c r="K434" s="4" t="n">
        <v>-2227</v>
      </c>
      <c r="L434" s="8" t="n">
        <v>2</v>
      </c>
      <c r="M434" s="11" t="n">
        <v>93.4</v>
      </c>
      <c r="N434" s="4" t="n">
        <v>133</v>
      </c>
      <c r="O434" s="8" t="n">
        <v>1</v>
      </c>
      <c r="P434" s="4" t="n">
        <f aca="false">H434+K434+N434</f>
        <v>-305</v>
      </c>
      <c r="Q434" s="4" t="n">
        <f aca="false">Q433+P434</f>
        <v>1304684</v>
      </c>
      <c r="R434" s="4" t="n">
        <f aca="false">Q434-MAX(0,MAX($Q$2:Q434))</f>
        <v>-12848</v>
      </c>
    </row>
    <row r="435" customFormat="false" ht="15" hidden="false" customHeight="false" outlineLevel="0" collapsed="false">
      <c r="A435" s="7" t="n">
        <v>46280</v>
      </c>
      <c r="B435" s="8" t="n">
        <f aca="false">YEAR(A435)</f>
        <v>2026</v>
      </c>
      <c r="C435" s="8" t="n">
        <f aca="false">MONTH(A435)</f>
        <v>9</v>
      </c>
      <c r="D435" s="8" t="s">
        <v>38</v>
      </c>
      <c r="E435" s="9" t="n">
        <v>23576.2</v>
      </c>
      <c r="F435" s="10" t="n">
        <v>12.29</v>
      </c>
      <c r="G435" s="11" t="n">
        <v>144.6</v>
      </c>
      <c r="H435" s="4" t="n">
        <v>3299</v>
      </c>
      <c r="I435" s="8" t="n">
        <v>1</v>
      </c>
      <c r="J435" s="11" t="n">
        <v>141.9</v>
      </c>
      <c r="K435" s="4" t="n">
        <v>3409</v>
      </c>
      <c r="L435" s="8" t="n">
        <v>1</v>
      </c>
      <c r="M435" s="11" t="n">
        <v>135.3</v>
      </c>
      <c r="N435" s="4" t="n">
        <v>2429</v>
      </c>
      <c r="O435" s="8" t="n">
        <v>1</v>
      </c>
      <c r="P435" s="4" t="n">
        <f aca="false">H435+K435+N435</f>
        <v>9137</v>
      </c>
      <c r="Q435" s="4" t="n">
        <f aca="false">Q434+P435</f>
        <v>1313821</v>
      </c>
      <c r="R435" s="4" t="n">
        <f aca="false">Q435-MAX(0,MAX($Q$2:Q435))</f>
        <v>-3711</v>
      </c>
    </row>
    <row r="436" customFormat="false" ht="15" hidden="false" customHeight="false" outlineLevel="0" collapsed="false">
      <c r="A436" s="7" t="n">
        <v>46287</v>
      </c>
      <c r="B436" s="8" t="n">
        <f aca="false">YEAR(A436)</f>
        <v>2026</v>
      </c>
      <c r="C436" s="8" t="n">
        <f aca="false">MONTH(A436)</f>
        <v>9</v>
      </c>
      <c r="D436" s="8" t="s">
        <v>38</v>
      </c>
      <c r="E436" s="9" t="n">
        <v>23454</v>
      </c>
      <c r="F436" s="10" t="n">
        <v>11.25</v>
      </c>
      <c r="G436" s="11" t="n">
        <v>114.3</v>
      </c>
      <c r="H436" s="4" t="n">
        <v>2485</v>
      </c>
      <c r="I436" s="8" t="n">
        <v>1</v>
      </c>
      <c r="J436" s="11" t="n">
        <v>112.3</v>
      </c>
      <c r="K436" s="4" t="n">
        <v>2032</v>
      </c>
      <c r="L436" s="8" t="n">
        <v>1</v>
      </c>
      <c r="M436" s="11" t="n">
        <v>108.2</v>
      </c>
      <c r="N436" s="4" t="n">
        <v>2874</v>
      </c>
      <c r="O436" s="8" t="n">
        <v>1</v>
      </c>
      <c r="P436" s="4" t="n">
        <f aca="false">H436+K436+N436</f>
        <v>7391</v>
      </c>
      <c r="Q436" s="4" t="n">
        <f aca="false">Q435+P436</f>
        <v>1321212</v>
      </c>
      <c r="R436" s="4" t="n">
        <f aca="false">Q436-MAX(0,MAX($Q$2:Q436))</f>
        <v>0</v>
      </c>
    </row>
    <row r="437" customFormat="false" ht="15" hidden="false" customHeight="false" outlineLevel="0" collapsed="false">
      <c r="A437" s="7" t="n">
        <v>46294</v>
      </c>
      <c r="B437" s="8" t="n">
        <f aca="false">YEAR(A437)</f>
        <v>2026</v>
      </c>
      <c r="C437" s="8" t="n">
        <f aca="false">MONTH(A437)</f>
        <v>9</v>
      </c>
      <c r="D437" s="8" t="s">
        <v>38</v>
      </c>
      <c r="E437" s="9" t="n">
        <v>22732.4</v>
      </c>
      <c r="F437" s="10" t="n">
        <v>13.64</v>
      </c>
      <c r="G437" s="11" t="n">
        <v>137.2</v>
      </c>
      <c r="H437" s="4" t="n">
        <v>-3034</v>
      </c>
      <c r="I437" s="8" t="n">
        <v>2</v>
      </c>
      <c r="J437" s="11" t="n">
        <v>134.6</v>
      </c>
      <c r="K437" s="4" t="n">
        <v>-2980</v>
      </c>
      <c r="L437" s="8" t="n">
        <v>2</v>
      </c>
      <c r="M437" s="11" t="n">
        <v>127.4</v>
      </c>
      <c r="N437" s="4" t="n">
        <v>2802</v>
      </c>
      <c r="O437" s="8" t="n">
        <v>1</v>
      </c>
      <c r="P437" s="4" t="n">
        <f aca="false">H437+K437+N437</f>
        <v>-3212</v>
      </c>
      <c r="Q437" s="4" t="n">
        <f aca="false">Q436+P437</f>
        <v>1318000</v>
      </c>
      <c r="R437" s="4" t="n">
        <f aca="false">Q437-MAX(0,MAX($Q$2:Q437))</f>
        <v>-3212</v>
      </c>
    </row>
    <row r="438" customFormat="false" ht="15" hidden="false" customHeight="false" outlineLevel="0" collapsed="false">
      <c r="A438" s="7" t="n">
        <v>46301</v>
      </c>
      <c r="B438" s="8" t="n">
        <f aca="false">YEAR(A438)</f>
        <v>2026</v>
      </c>
      <c r="C438" s="8" t="n">
        <f aca="false">MONTH(A438)</f>
        <v>10</v>
      </c>
      <c r="D438" s="8" t="s">
        <v>38</v>
      </c>
      <c r="E438" s="9" t="n">
        <v>22603.2</v>
      </c>
      <c r="F438" s="10" t="n">
        <v>14.78</v>
      </c>
      <c r="G438" s="11" t="n">
        <v>137.1</v>
      </c>
      <c r="H438" s="4" t="n">
        <v>1574</v>
      </c>
      <c r="I438" s="8" t="n">
        <v>1</v>
      </c>
      <c r="J438" s="11" t="n">
        <v>133.7</v>
      </c>
      <c r="K438" s="4" t="n">
        <v>2007</v>
      </c>
      <c r="L438" s="8" t="n">
        <v>1</v>
      </c>
      <c r="M438" s="11" t="n">
        <v>127.6</v>
      </c>
      <c r="N438" s="4" t="n">
        <v>-2837</v>
      </c>
      <c r="O438" s="8" t="n">
        <v>2</v>
      </c>
      <c r="P438" s="4" t="n">
        <f aca="false">H438+K438+N438</f>
        <v>744</v>
      </c>
      <c r="Q438" s="4" t="n">
        <f aca="false">Q437+P438</f>
        <v>1318744</v>
      </c>
      <c r="R438" s="4" t="n">
        <f aca="false">Q438-MAX(0,MAX($Q$2:Q438))</f>
        <v>-2468</v>
      </c>
    </row>
    <row r="439" customFormat="false" ht="15" hidden="false" customHeight="false" outlineLevel="0" collapsed="false">
      <c r="A439" s="7" t="n">
        <v>46308</v>
      </c>
      <c r="B439" s="8" t="n">
        <f aca="false">YEAR(A439)</f>
        <v>2026</v>
      </c>
      <c r="C439" s="8" t="n">
        <f aca="false">MONTH(A439)</f>
        <v>10</v>
      </c>
      <c r="D439" s="8" t="s">
        <v>38</v>
      </c>
      <c r="E439" s="9" t="n">
        <v>22364.2</v>
      </c>
      <c r="F439" s="10" t="n">
        <v>15.25</v>
      </c>
      <c r="G439" s="11" t="n">
        <v>138.7</v>
      </c>
      <c r="H439" s="4" t="n">
        <v>3216</v>
      </c>
      <c r="I439" s="8" t="n">
        <v>1</v>
      </c>
      <c r="J439" s="11" t="n">
        <v>136.4</v>
      </c>
      <c r="K439" s="4" t="n">
        <v>2900</v>
      </c>
      <c r="L439" s="8" t="n">
        <v>1</v>
      </c>
      <c r="M439" s="11" t="n">
        <v>131.6</v>
      </c>
      <c r="N439" s="4" t="n">
        <v>-2918</v>
      </c>
      <c r="O439" s="8" t="n">
        <v>2</v>
      </c>
      <c r="P439" s="4" t="n">
        <f aca="false">H439+K439+N439</f>
        <v>3198</v>
      </c>
      <c r="Q439" s="4" t="n">
        <f aca="false">Q438+P439</f>
        <v>1321942</v>
      </c>
      <c r="R439" s="4" t="n">
        <f aca="false">Q439-MAX(0,MAX($Q$2:Q439))</f>
        <v>0</v>
      </c>
    </row>
    <row r="440" customFormat="false" ht="15" hidden="false" customHeight="false" outlineLevel="0" collapsed="false">
      <c r="A440" s="7" t="n">
        <v>46314</v>
      </c>
      <c r="B440" s="8" t="n">
        <f aca="false">YEAR(A440)</f>
        <v>2026</v>
      </c>
      <c r="C440" s="8" t="n">
        <f aca="false">MONTH(A440)</f>
        <v>10</v>
      </c>
      <c r="D440" s="8" t="s">
        <v>39</v>
      </c>
      <c r="E440" s="9" t="n">
        <v>23150.8</v>
      </c>
      <c r="F440" s="10" t="n">
        <v>14.06</v>
      </c>
      <c r="G440" s="11" t="n">
        <v>203</v>
      </c>
      <c r="H440" s="4" t="n">
        <v>5207</v>
      </c>
      <c r="I440" s="8" t="n">
        <v>1</v>
      </c>
      <c r="J440" s="11" t="n">
        <v>198.6</v>
      </c>
      <c r="K440" s="4" t="n">
        <v>-4289</v>
      </c>
      <c r="L440" s="8" t="n">
        <v>2</v>
      </c>
      <c r="M440" s="11" t="n">
        <v>190.7</v>
      </c>
      <c r="N440" s="4" t="n">
        <v>5076</v>
      </c>
      <c r="O440" s="8" t="n">
        <v>1</v>
      </c>
      <c r="P440" s="4" t="n">
        <f aca="false">H440+K440+N440</f>
        <v>5994</v>
      </c>
      <c r="Q440" s="4" t="n">
        <f aca="false">Q439+P440</f>
        <v>1327936</v>
      </c>
      <c r="R440" s="4" t="n">
        <f aca="false">Q440-MAX(0,MAX($Q$2:Q440))</f>
        <v>0</v>
      </c>
    </row>
  </sheetData>
  <autoFilter ref="A1:R440"/>
  <conditionalFormatting sqref="P2:P440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18" min="2" style="0" width="12"/>
  </cols>
  <sheetData>
    <row r="1" customFormat="false" ht="42" hidden="false" customHeight="true" outlineLevel="0" collapsed="false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40</v>
      </c>
      <c r="H1" s="2" t="s">
        <v>41</v>
      </c>
      <c r="I1" s="2" t="s">
        <v>42</v>
      </c>
      <c r="J1" s="2" t="s">
        <v>30</v>
      </c>
      <c r="K1" s="2" t="s">
        <v>31</v>
      </c>
      <c r="L1" s="2" t="s">
        <v>32</v>
      </c>
      <c r="M1" s="2" t="s">
        <v>43</v>
      </c>
      <c r="N1" s="2" t="s">
        <v>44</v>
      </c>
      <c r="O1" s="2" t="s">
        <v>45</v>
      </c>
      <c r="P1" s="2" t="s">
        <v>33</v>
      </c>
      <c r="Q1" s="2" t="s">
        <v>34</v>
      </c>
      <c r="R1" s="2" t="s">
        <v>35</v>
      </c>
    </row>
    <row r="2" customFormat="false" ht="15" hidden="false" customHeight="false" outlineLevel="0" collapsed="false">
      <c r="A2" s="7" t="n">
        <v>42397</v>
      </c>
      <c r="B2" s="8" t="n">
        <f aca="false">YEAR(A2)</f>
        <v>2016</v>
      </c>
      <c r="C2" s="8" t="n">
        <f aca="false">MONTH(A2)</f>
        <v>1</v>
      </c>
      <c r="D2" s="8" t="s">
        <v>36</v>
      </c>
      <c r="E2" s="9" t="n">
        <v>7426.5</v>
      </c>
      <c r="F2" s="10" t="n">
        <v>19.06</v>
      </c>
      <c r="G2" s="11" t="n">
        <v>35.3</v>
      </c>
      <c r="H2" s="4" t="n">
        <v>-947</v>
      </c>
      <c r="I2" s="8" t="n">
        <v>2</v>
      </c>
      <c r="J2" s="11" t="n">
        <v>36</v>
      </c>
      <c r="K2" s="4" t="n">
        <v>-535</v>
      </c>
      <c r="L2" s="8" t="n">
        <v>1</v>
      </c>
      <c r="M2" s="11" t="n">
        <v>32</v>
      </c>
      <c r="N2" s="4" t="n">
        <v>-880</v>
      </c>
      <c r="O2" s="8" t="n">
        <v>2</v>
      </c>
      <c r="P2" s="4" t="n">
        <f aca="false">H2+K2+N2</f>
        <v>-2362</v>
      </c>
      <c r="Q2" s="4" t="n">
        <f aca="false">P2</f>
        <v>-2362</v>
      </c>
      <c r="R2" s="4" t="n">
        <f aca="false">Q2-MAX(0,MAX($Q$2:Q2))</f>
        <v>-2362</v>
      </c>
    </row>
    <row r="3" customFormat="false" ht="15" hidden="false" customHeight="false" outlineLevel="0" collapsed="false">
      <c r="A3" s="7" t="n">
        <v>42425</v>
      </c>
      <c r="B3" s="8" t="n">
        <f aca="false">YEAR(A3)</f>
        <v>2016</v>
      </c>
      <c r="C3" s="8" t="n">
        <f aca="false">MONTH(A3)</f>
        <v>2</v>
      </c>
      <c r="D3" s="8" t="s">
        <v>36</v>
      </c>
      <c r="E3" s="9" t="n">
        <v>7029.8</v>
      </c>
      <c r="F3" s="10" t="n">
        <v>22.96</v>
      </c>
      <c r="G3" s="11" t="n">
        <v>53.3</v>
      </c>
      <c r="H3" s="4" t="n">
        <v>1642</v>
      </c>
      <c r="I3" s="8" t="n">
        <v>1</v>
      </c>
      <c r="J3" s="11" t="n">
        <v>51</v>
      </c>
      <c r="K3" s="4" t="n">
        <v>-1268</v>
      </c>
      <c r="L3" s="8" t="n">
        <v>2</v>
      </c>
      <c r="M3" s="11" t="n">
        <v>51.2</v>
      </c>
      <c r="N3" s="4" t="n">
        <v>1868</v>
      </c>
      <c r="O3" s="8" t="n">
        <v>1</v>
      </c>
      <c r="P3" s="4" t="n">
        <f aca="false">H3+K3+N3</f>
        <v>2242</v>
      </c>
      <c r="Q3" s="4" t="n">
        <f aca="false">Q2+P3</f>
        <v>-120</v>
      </c>
      <c r="R3" s="4" t="n">
        <f aca="false">Q3-MAX(0,MAX($Q$2:Q3))</f>
        <v>-120</v>
      </c>
    </row>
    <row r="4" customFormat="false" ht="15" hidden="false" customHeight="false" outlineLevel="0" collapsed="false">
      <c r="A4" s="7" t="n">
        <v>42460</v>
      </c>
      <c r="B4" s="8" t="n">
        <f aca="false">YEAR(A4)</f>
        <v>2016</v>
      </c>
      <c r="C4" s="8" t="n">
        <f aca="false">MONTH(A4)</f>
        <v>3</v>
      </c>
      <c r="D4" s="8" t="s">
        <v>36</v>
      </c>
      <c r="E4" s="9" t="n">
        <v>7727.6</v>
      </c>
      <c r="F4" s="10" t="n">
        <v>16.81</v>
      </c>
      <c r="G4" s="11" t="n">
        <v>35.6</v>
      </c>
      <c r="H4" s="4" t="n">
        <v>-953</v>
      </c>
      <c r="I4" s="8" t="n">
        <v>2</v>
      </c>
      <c r="J4" s="11" t="n">
        <v>36.7</v>
      </c>
      <c r="K4" s="4" t="n">
        <v>1296</v>
      </c>
      <c r="L4" s="8" t="n">
        <v>1</v>
      </c>
      <c r="M4" s="11" t="n">
        <v>35.1</v>
      </c>
      <c r="N4" s="4" t="n">
        <v>1251</v>
      </c>
      <c r="O4" s="8" t="n">
        <v>1</v>
      </c>
      <c r="P4" s="4" t="n">
        <f aca="false">H4+K4+N4</f>
        <v>1594</v>
      </c>
      <c r="Q4" s="4" t="n">
        <f aca="false">Q3+P4</f>
        <v>1474</v>
      </c>
      <c r="R4" s="4" t="n">
        <f aca="false">Q4-MAX(0,MAX($Q$2:Q4))</f>
        <v>0</v>
      </c>
    </row>
    <row r="5" customFormat="false" ht="15" hidden="false" customHeight="false" outlineLevel="0" collapsed="false">
      <c r="A5" s="7" t="n">
        <v>42488</v>
      </c>
      <c r="B5" s="8" t="n">
        <f aca="false">YEAR(A5)</f>
        <v>2016</v>
      </c>
      <c r="C5" s="8" t="n">
        <f aca="false">MONTH(A5)</f>
        <v>4</v>
      </c>
      <c r="D5" s="8" t="s">
        <v>36</v>
      </c>
      <c r="E5" s="9" t="n">
        <v>7967.4</v>
      </c>
      <c r="F5" s="10" t="n">
        <v>16.35</v>
      </c>
      <c r="G5" s="11" t="n">
        <v>41.4</v>
      </c>
      <c r="H5" s="4" t="n">
        <v>-1071</v>
      </c>
      <c r="I5" s="8" t="n">
        <v>2</v>
      </c>
      <c r="J5" s="11" t="n">
        <v>37.7</v>
      </c>
      <c r="K5" s="4" t="n">
        <v>274</v>
      </c>
      <c r="L5" s="8" t="n">
        <v>1</v>
      </c>
      <c r="M5" s="11" t="n">
        <v>41.3</v>
      </c>
      <c r="N5" s="4" t="n">
        <v>1818</v>
      </c>
      <c r="O5" s="8" t="n">
        <v>1</v>
      </c>
      <c r="P5" s="4" t="n">
        <f aca="false">H5+K5+N5</f>
        <v>1021</v>
      </c>
      <c r="Q5" s="4" t="n">
        <f aca="false">Q4+P5</f>
        <v>2495</v>
      </c>
      <c r="R5" s="4" t="n">
        <f aca="false">Q5-MAX(0,MAX($Q$2:Q5))</f>
        <v>0</v>
      </c>
    </row>
    <row r="6" customFormat="false" ht="15" hidden="false" customHeight="false" outlineLevel="0" collapsed="false">
      <c r="A6" s="7" t="n">
        <v>42516</v>
      </c>
      <c r="B6" s="8" t="n">
        <f aca="false">YEAR(A6)</f>
        <v>2016</v>
      </c>
      <c r="C6" s="8" t="n">
        <f aca="false">MONTH(A6)</f>
        <v>5</v>
      </c>
      <c r="D6" s="8" t="s">
        <v>36</v>
      </c>
      <c r="E6" s="9" t="n">
        <v>7974.4</v>
      </c>
      <c r="F6" s="10" t="n">
        <v>15.52</v>
      </c>
      <c r="G6" s="11" t="n">
        <v>46.7</v>
      </c>
      <c r="H6" s="4" t="n">
        <v>-238</v>
      </c>
      <c r="I6" s="8" t="n">
        <v>1</v>
      </c>
      <c r="J6" s="11" t="n">
        <v>46</v>
      </c>
      <c r="K6" s="4" t="n">
        <v>-1165</v>
      </c>
      <c r="L6" s="8" t="n">
        <v>2</v>
      </c>
      <c r="M6" s="11" t="n">
        <v>42</v>
      </c>
      <c r="N6" s="4" t="n">
        <v>-1085</v>
      </c>
      <c r="O6" s="8" t="n">
        <v>2</v>
      </c>
      <c r="P6" s="4" t="n">
        <f aca="false">H6+K6+N6</f>
        <v>-2488</v>
      </c>
      <c r="Q6" s="4" t="n">
        <f aca="false">Q5+P6</f>
        <v>7</v>
      </c>
      <c r="R6" s="4" t="n">
        <f aca="false">Q6-MAX(0,MAX($Q$2:Q6))</f>
        <v>-2488</v>
      </c>
    </row>
    <row r="7" customFormat="false" ht="15" hidden="false" customHeight="false" outlineLevel="0" collapsed="false">
      <c r="A7" s="7" t="n">
        <v>42551</v>
      </c>
      <c r="B7" s="8" t="n">
        <f aca="false">YEAR(A7)</f>
        <v>2016</v>
      </c>
      <c r="C7" s="8" t="n">
        <f aca="false">MONTH(A7)</f>
        <v>6</v>
      </c>
      <c r="D7" s="8" t="s">
        <v>36</v>
      </c>
      <c r="E7" s="9" t="n">
        <v>8262.3</v>
      </c>
      <c r="F7" s="10" t="n">
        <v>16.16</v>
      </c>
      <c r="G7" s="11" t="n">
        <v>54.7</v>
      </c>
      <c r="H7" s="4" t="n">
        <v>305</v>
      </c>
      <c r="I7" s="8" t="n">
        <v>1</v>
      </c>
      <c r="J7" s="11" t="n">
        <v>55</v>
      </c>
      <c r="K7" s="4" t="n">
        <v>-1350</v>
      </c>
      <c r="L7" s="8" t="n">
        <v>2</v>
      </c>
      <c r="M7" s="11" t="n">
        <v>52.5</v>
      </c>
      <c r="N7" s="4" t="n">
        <v>-1299</v>
      </c>
      <c r="O7" s="8" t="n">
        <v>2</v>
      </c>
      <c r="P7" s="4" t="n">
        <f aca="false">H7+K7+N7</f>
        <v>-2344</v>
      </c>
      <c r="Q7" s="4" t="n">
        <f aca="false">Q6+P7</f>
        <v>-2337</v>
      </c>
      <c r="R7" s="4" t="n">
        <f aca="false">Q7-MAX(0,MAX($Q$2:Q7))</f>
        <v>-4832</v>
      </c>
    </row>
    <row r="8" customFormat="false" ht="15" hidden="false" customHeight="false" outlineLevel="0" collapsed="false">
      <c r="A8" s="7" t="n">
        <v>42579</v>
      </c>
      <c r="B8" s="8" t="n">
        <f aca="false">YEAR(A8)</f>
        <v>2016</v>
      </c>
      <c r="C8" s="8" t="n">
        <f aca="false">MONTH(A8)</f>
        <v>7</v>
      </c>
      <c r="D8" s="8" t="s">
        <v>36</v>
      </c>
      <c r="E8" s="9" t="n">
        <v>8636.8</v>
      </c>
      <c r="F8" s="10" t="n">
        <v>15.43</v>
      </c>
      <c r="G8" s="11" t="n">
        <v>45.5</v>
      </c>
      <c r="H8" s="4" t="n">
        <v>1494</v>
      </c>
      <c r="I8" s="8" t="n">
        <v>0</v>
      </c>
      <c r="J8" s="11" t="n">
        <v>44.4</v>
      </c>
      <c r="K8" s="4" t="n">
        <v>1421</v>
      </c>
      <c r="L8" s="8" t="n">
        <v>0</v>
      </c>
      <c r="M8" s="11" t="n">
        <v>42.4</v>
      </c>
      <c r="N8" s="4" t="n">
        <v>1155</v>
      </c>
      <c r="O8" s="8" t="n">
        <v>1</v>
      </c>
      <c r="P8" s="4" t="n">
        <f aca="false">H8+K8+N8</f>
        <v>4070</v>
      </c>
      <c r="Q8" s="4" t="n">
        <f aca="false">Q7+P8</f>
        <v>1733</v>
      </c>
      <c r="R8" s="4" t="n">
        <f aca="false">Q8-MAX(0,MAX($Q$2:Q8))</f>
        <v>-762</v>
      </c>
    </row>
    <row r="9" customFormat="false" ht="15" hidden="false" customHeight="false" outlineLevel="0" collapsed="false">
      <c r="A9" s="7" t="n">
        <v>42607</v>
      </c>
      <c r="B9" s="8" t="n">
        <f aca="false">YEAR(A9)</f>
        <v>2016</v>
      </c>
      <c r="C9" s="8" t="n">
        <f aca="false">MONTH(A9)</f>
        <v>8</v>
      </c>
      <c r="D9" s="8" t="s">
        <v>36</v>
      </c>
      <c r="E9" s="9" t="n">
        <v>8666.8</v>
      </c>
      <c r="F9" s="10" t="n">
        <v>13.49</v>
      </c>
      <c r="G9" s="11" t="n">
        <v>57.8</v>
      </c>
      <c r="H9" s="4" t="n">
        <v>116</v>
      </c>
      <c r="I9" s="8" t="n">
        <v>1</v>
      </c>
      <c r="J9" s="11" t="n">
        <v>56.8</v>
      </c>
      <c r="K9" s="4" t="n">
        <v>2091</v>
      </c>
      <c r="L9" s="8" t="n">
        <v>1</v>
      </c>
      <c r="M9" s="11" t="n">
        <v>54.8</v>
      </c>
      <c r="N9" s="4" t="n">
        <v>2090</v>
      </c>
      <c r="O9" s="8" t="n">
        <v>1</v>
      </c>
      <c r="P9" s="4" t="n">
        <f aca="false">H9+K9+N9</f>
        <v>4297</v>
      </c>
      <c r="Q9" s="4" t="n">
        <f aca="false">Q8+P9</f>
        <v>6030</v>
      </c>
      <c r="R9" s="4" t="n">
        <f aca="false">Q9-MAX(0,MAX($Q$2:Q9))</f>
        <v>0</v>
      </c>
    </row>
    <row r="10" customFormat="false" ht="15" hidden="false" customHeight="false" outlineLevel="0" collapsed="false">
      <c r="A10" s="7" t="n">
        <v>42642</v>
      </c>
      <c r="B10" s="8" t="n">
        <f aca="false">YEAR(A10)</f>
        <v>2016</v>
      </c>
      <c r="C10" s="8" t="n">
        <f aca="false">MONTH(A10)</f>
        <v>9</v>
      </c>
      <c r="D10" s="8" t="s">
        <v>36</v>
      </c>
      <c r="E10" s="9" t="n">
        <v>8790.8</v>
      </c>
      <c r="F10" s="10" t="n">
        <v>13.85</v>
      </c>
      <c r="G10" s="11" t="n">
        <v>40.6</v>
      </c>
      <c r="H10" s="4" t="n">
        <v>297</v>
      </c>
      <c r="I10" s="8" t="n">
        <v>1</v>
      </c>
      <c r="J10" s="11" t="n">
        <v>40.5</v>
      </c>
      <c r="K10" s="4" t="n">
        <v>61</v>
      </c>
      <c r="L10" s="8" t="n">
        <v>1</v>
      </c>
      <c r="M10" s="11" t="n">
        <v>41</v>
      </c>
      <c r="N10" s="4" t="n">
        <v>-247</v>
      </c>
      <c r="O10" s="8" t="n">
        <v>1</v>
      </c>
      <c r="P10" s="4" t="n">
        <f aca="false">H10+K10+N10</f>
        <v>111</v>
      </c>
      <c r="Q10" s="4" t="n">
        <f aca="false">Q9+P10</f>
        <v>6141</v>
      </c>
      <c r="R10" s="4" t="n">
        <f aca="false">Q10-MAX(0,MAX($Q$2:Q10))</f>
        <v>0</v>
      </c>
    </row>
    <row r="11" customFormat="false" ht="15" hidden="false" customHeight="false" outlineLevel="0" collapsed="false">
      <c r="A11" s="7" t="n">
        <v>42670</v>
      </c>
      <c r="B11" s="8" t="n">
        <f aca="false">YEAR(A11)</f>
        <v>2016</v>
      </c>
      <c r="C11" s="8" t="n">
        <f aca="false">MONTH(A11)</f>
        <v>10</v>
      </c>
      <c r="D11" s="8" t="s">
        <v>36</v>
      </c>
      <c r="E11" s="9" t="n">
        <v>8607.1</v>
      </c>
      <c r="F11" s="10" t="n">
        <v>14.45</v>
      </c>
      <c r="G11" s="11" t="n">
        <v>46.8</v>
      </c>
      <c r="H11" s="4" t="n">
        <v>-1181</v>
      </c>
      <c r="I11" s="8" t="n">
        <v>2</v>
      </c>
      <c r="J11" s="11" t="n">
        <v>47.2</v>
      </c>
      <c r="K11" s="4" t="n">
        <v>-6</v>
      </c>
      <c r="L11" s="8" t="n">
        <v>1</v>
      </c>
      <c r="M11" s="11" t="n">
        <v>47.1</v>
      </c>
      <c r="N11" s="4" t="n">
        <v>-1189</v>
      </c>
      <c r="O11" s="8" t="n">
        <v>2</v>
      </c>
      <c r="P11" s="4" t="n">
        <f aca="false">H11+K11+N11</f>
        <v>-2376</v>
      </c>
      <c r="Q11" s="4" t="n">
        <f aca="false">Q10+P11</f>
        <v>3765</v>
      </c>
      <c r="R11" s="4" t="n">
        <f aca="false">Q11-MAX(0,MAX($Q$2:Q11))</f>
        <v>-2376</v>
      </c>
    </row>
    <row r="12" customFormat="false" ht="15" hidden="false" customHeight="false" outlineLevel="0" collapsed="false">
      <c r="A12" s="7" t="n">
        <v>42698</v>
      </c>
      <c r="B12" s="8" t="n">
        <f aca="false">YEAR(A12)</f>
        <v>2016</v>
      </c>
      <c r="C12" s="8" t="n">
        <f aca="false">MONTH(A12)</f>
        <v>11</v>
      </c>
      <c r="D12" s="8" t="s">
        <v>36</v>
      </c>
      <c r="E12" s="9" t="n">
        <v>8011.8</v>
      </c>
      <c r="F12" s="10" t="n">
        <v>18.04</v>
      </c>
      <c r="G12" s="11" t="n">
        <v>52.9</v>
      </c>
      <c r="H12" s="4" t="n">
        <v>482</v>
      </c>
      <c r="I12" s="8" t="n">
        <v>1</v>
      </c>
      <c r="J12" s="11" t="n">
        <v>50.8</v>
      </c>
      <c r="K12" s="4" t="n">
        <v>675</v>
      </c>
      <c r="L12" s="8" t="n">
        <v>1</v>
      </c>
      <c r="M12" s="11" t="n">
        <v>48.6</v>
      </c>
      <c r="N12" s="4" t="n">
        <v>526</v>
      </c>
      <c r="O12" s="8" t="n">
        <v>1</v>
      </c>
      <c r="P12" s="4" t="n">
        <f aca="false">H12+K12+N12</f>
        <v>1683</v>
      </c>
      <c r="Q12" s="4" t="n">
        <f aca="false">Q11+P12</f>
        <v>5448</v>
      </c>
      <c r="R12" s="4" t="n">
        <f aca="false">Q12-MAX(0,MAX($Q$2:Q12))</f>
        <v>-693</v>
      </c>
    </row>
    <row r="13" customFormat="false" ht="15" hidden="false" customHeight="false" outlineLevel="0" collapsed="false">
      <c r="A13" s="7" t="n">
        <v>42733</v>
      </c>
      <c r="B13" s="8" t="n">
        <f aca="false">YEAR(A13)</f>
        <v>2016</v>
      </c>
      <c r="C13" s="8" t="n">
        <f aca="false">MONTH(A13)</f>
        <v>12</v>
      </c>
      <c r="D13" s="8" t="s">
        <v>36</v>
      </c>
      <c r="E13" s="9" t="n">
        <v>8030.6</v>
      </c>
      <c r="F13" s="10" t="n">
        <v>15.54</v>
      </c>
      <c r="G13" s="11" t="n">
        <v>52.4</v>
      </c>
      <c r="H13" s="4" t="n">
        <v>982</v>
      </c>
      <c r="I13" s="8" t="n">
        <v>1</v>
      </c>
      <c r="J13" s="11" t="n">
        <v>50.9</v>
      </c>
      <c r="K13" s="4" t="n">
        <v>980</v>
      </c>
      <c r="L13" s="8" t="n">
        <v>1</v>
      </c>
      <c r="M13" s="11" t="n">
        <v>48.5</v>
      </c>
      <c r="N13" s="4" t="n">
        <v>808</v>
      </c>
      <c r="O13" s="8" t="n">
        <v>1</v>
      </c>
      <c r="P13" s="4" t="n">
        <f aca="false">H13+K13+N13</f>
        <v>2770</v>
      </c>
      <c r="Q13" s="4" t="n">
        <f aca="false">Q12+P13</f>
        <v>8218</v>
      </c>
      <c r="R13" s="4" t="n">
        <f aca="false">Q13-MAX(0,MAX($Q$2:Q13))</f>
        <v>0</v>
      </c>
    </row>
    <row r="14" customFormat="false" ht="15" hidden="false" customHeight="false" outlineLevel="0" collapsed="false">
      <c r="A14" s="7" t="n">
        <v>42760</v>
      </c>
      <c r="B14" s="8" t="n">
        <f aca="false">YEAR(A14)</f>
        <v>2017</v>
      </c>
      <c r="C14" s="8" t="n">
        <f aca="false">MONTH(A14)</f>
        <v>1</v>
      </c>
      <c r="D14" s="8" t="s">
        <v>37</v>
      </c>
      <c r="E14" s="9" t="n">
        <v>8499.4</v>
      </c>
      <c r="F14" s="10" t="n">
        <v>15.29</v>
      </c>
      <c r="G14" s="11" t="n">
        <v>39.8</v>
      </c>
      <c r="H14" s="4" t="n">
        <v>-1040</v>
      </c>
      <c r="I14" s="8" t="n">
        <v>2</v>
      </c>
      <c r="J14" s="11" t="n">
        <v>37.1</v>
      </c>
      <c r="K14" s="4" t="n">
        <v>-985</v>
      </c>
      <c r="L14" s="8" t="n">
        <v>2</v>
      </c>
      <c r="M14" s="11" t="n">
        <v>38.1</v>
      </c>
      <c r="N14" s="4" t="n">
        <v>-312</v>
      </c>
      <c r="O14" s="8" t="n">
        <v>1</v>
      </c>
      <c r="P14" s="4" t="n">
        <f aca="false">H14+K14+N14</f>
        <v>-2337</v>
      </c>
      <c r="Q14" s="4" t="n">
        <f aca="false">Q13+P14</f>
        <v>5881</v>
      </c>
      <c r="R14" s="4" t="n">
        <f aca="false">Q14-MAX(0,MAX($Q$2:Q14))</f>
        <v>-2337</v>
      </c>
    </row>
    <row r="15" customFormat="false" ht="15" hidden="false" customHeight="false" outlineLevel="0" collapsed="false">
      <c r="A15" s="7" t="n">
        <v>42789</v>
      </c>
      <c r="B15" s="8" t="n">
        <f aca="false">YEAR(A15)</f>
        <v>2017</v>
      </c>
      <c r="C15" s="8" t="n">
        <f aca="false">MONTH(A15)</f>
        <v>2</v>
      </c>
      <c r="D15" s="8" t="s">
        <v>36</v>
      </c>
      <c r="E15" s="9" t="n">
        <v>8952.6</v>
      </c>
      <c r="F15" s="10" t="n">
        <v>13.7</v>
      </c>
      <c r="G15" s="11" t="n">
        <v>52</v>
      </c>
      <c r="H15" s="4" t="n">
        <v>-500</v>
      </c>
      <c r="I15" s="8" t="n">
        <v>1</v>
      </c>
      <c r="J15" s="11" t="n">
        <v>50.5</v>
      </c>
      <c r="K15" s="4" t="n">
        <v>-349</v>
      </c>
      <c r="L15" s="8" t="n">
        <v>1</v>
      </c>
      <c r="M15" s="11" t="n">
        <v>48</v>
      </c>
      <c r="N15" s="4" t="n">
        <v>-563</v>
      </c>
      <c r="O15" s="8" t="n">
        <v>1</v>
      </c>
      <c r="P15" s="4" t="n">
        <f aca="false">H15+K15+N15</f>
        <v>-1412</v>
      </c>
      <c r="Q15" s="4" t="n">
        <f aca="false">Q14+P15</f>
        <v>4469</v>
      </c>
      <c r="R15" s="4" t="n">
        <f aca="false">Q15-MAX(0,MAX($Q$2:Q15))</f>
        <v>-3749</v>
      </c>
    </row>
    <row r="16" customFormat="false" ht="15" hidden="false" customHeight="false" outlineLevel="0" collapsed="false">
      <c r="A16" s="7" t="n">
        <v>42824</v>
      </c>
      <c r="B16" s="8" t="n">
        <f aca="false">YEAR(A16)</f>
        <v>2017</v>
      </c>
      <c r="C16" s="8" t="n">
        <f aca="false">MONTH(A16)</f>
        <v>3</v>
      </c>
      <c r="D16" s="8" t="s">
        <v>36</v>
      </c>
      <c r="E16" s="9" t="n">
        <v>9142.6</v>
      </c>
      <c r="F16" s="10" t="n">
        <v>12.09</v>
      </c>
      <c r="G16" s="11" t="n">
        <v>34.1</v>
      </c>
      <c r="H16" s="4" t="n">
        <v>-163</v>
      </c>
      <c r="I16" s="8" t="n">
        <v>1</v>
      </c>
      <c r="J16" s="11" t="n">
        <v>33.5</v>
      </c>
      <c r="K16" s="4" t="n">
        <v>-148</v>
      </c>
      <c r="L16" s="8" t="n">
        <v>1</v>
      </c>
      <c r="M16" s="11" t="n">
        <v>30.7</v>
      </c>
      <c r="N16" s="4" t="n">
        <v>-853</v>
      </c>
      <c r="O16" s="8" t="n">
        <v>2</v>
      </c>
      <c r="P16" s="4" t="n">
        <f aca="false">H16+K16+N16</f>
        <v>-1164</v>
      </c>
      <c r="Q16" s="4" t="n">
        <f aca="false">Q15+P16</f>
        <v>3305</v>
      </c>
      <c r="R16" s="4" t="n">
        <f aca="false">Q16-MAX(0,MAX($Q$2:Q16))</f>
        <v>-4913</v>
      </c>
    </row>
    <row r="17" customFormat="false" ht="15" hidden="false" customHeight="false" outlineLevel="0" collapsed="false">
      <c r="A17" s="7" t="n">
        <v>42852</v>
      </c>
      <c r="B17" s="8" t="n">
        <f aca="false">YEAR(A17)</f>
        <v>2017</v>
      </c>
      <c r="C17" s="8" t="n">
        <f aca="false">MONTH(A17)</f>
        <v>4</v>
      </c>
      <c r="D17" s="8" t="s">
        <v>36</v>
      </c>
      <c r="E17" s="9" t="n">
        <v>9359.2</v>
      </c>
      <c r="F17" s="10" t="n">
        <v>11.74</v>
      </c>
      <c r="G17" s="11" t="n">
        <v>40.3</v>
      </c>
      <c r="H17" s="4" t="n">
        <v>545</v>
      </c>
      <c r="I17" s="8" t="n">
        <v>1</v>
      </c>
      <c r="J17" s="11" t="n">
        <v>40.4</v>
      </c>
      <c r="K17" s="4" t="n">
        <v>451</v>
      </c>
      <c r="L17" s="8" t="n">
        <v>1</v>
      </c>
      <c r="M17" s="11" t="n">
        <v>37.3</v>
      </c>
      <c r="N17" s="4" t="n">
        <v>1371</v>
      </c>
      <c r="O17" s="8" t="n">
        <v>0</v>
      </c>
      <c r="P17" s="4" t="n">
        <f aca="false">H17+K17+N17</f>
        <v>2367</v>
      </c>
      <c r="Q17" s="4" t="n">
        <f aca="false">Q16+P17</f>
        <v>5672</v>
      </c>
      <c r="R17" s="4" t="n">
        <f aca="false">Q17-MAX(0,MAX($Q$2:Q17))</f>
        <v>-2546</v>
      </c>
    </row>
    <row r="18" customFormat="false" ht="15" hidden="false" customHeight="false" outlineLevel="0" collapsed="false">
      <c r="A18" s="7" t="n">
        <v>42880</v>
      </c>
      <c r="B18" s="8" t="n">
        <f aca="false">YEAR(A18)</f>
        <v>2017</v>
      </c>
      <c r="C18" s="8" t="n">
        <f aca="false">MONTH(A18)</f>
        <v>5</v>
      </c>
      <c r="D18" s="8" t="s">
        <v>36</v>
      </c>
      <c r="E18" s="9" t="n">
        <v>9384</v>
      </c>
      <c r="F18" s="10" t="n">
        <v>11.83</v>
      </c>
      <c r="G18" s="11" t="n">
        <v>44.1</v>
      </c>
      <c r="H18" s="4" t="n">
        <v>-1128</v>
      </c>
      <c r="I18" s="8" t="n">
        <v>2</v>
      </c>
      <c r="J18" s="11" t="n">
        <v>42.2</v>
      </c>
      <c r="K18" s="4" t="n">
        <v>568</v>
      </c>
      <c r="L18" s="8" t="n">
        <v>1</v>
      </c>
      <c r="M18" s="11" t="n">
        <v>41.4</v>
      </c>
      <c r="N18" s="4" t="n">
        <v>151</v>
      </c>
      <c r="O18" s="8" t="n">
        <v>1</v>
      </c>
      <c r="P18" s="4" t="n">
        <f aca="false">H18+K18+N18</f>
        <v>-409</v>
      </c>
      <c r="Q18" s="4" t="n">
        <f aca="false">Q17+P18</f>
        <v>5263</v>
      </c>
      <c r="R18" s="4" t="n">
        <f aca="false">Q18-MAX(0,MAX($Q$2:Q18))</f>
        <v>-2955</v>
      </c>
    </row>
    <row r="19" customFormat="false" ht="15" hidden="false" customHeight="false" outlineLevel="0" collapsed="false">
      <c r="A19" s="7" t="n">
        <v>42915</v>
      </c>
      <c r="B19" s="8" t="n">
        <f aca="false">YEAR(A19)</f>
        <v>2017</v>
      </c>
      <c r="C19" s="8" t="n">
        <f aca="false">MONTH(A19)</f>
        <v>6</v>
      </c>
      <c r="D19" s="8" t="s">
        <v>36</v>
      </c>
      <c r="E19" s="9" t="n">
        <v>9523</v>
      </c>
      <c r="F19" s="10" t="n">
        <v>11.99</v>
      </c>
      <c r="G19" s="11" t="n">
        <v>36.2</v>
      </c>
      <c r="H19" s="4" t="n">
        <v>-966</v>
      </c>
      <c r="I19" s="8" t="n">
        <v>2</v>
      </c>
      <c r="J19" s="11" t="n">
        <v>36.5</v>
      </c>
      <c r="K19" s="4" t="n">
        <v>1126</v>
      </c>
      <c r="L19" s="8" t="n">
        <v>1</v>
      </c>
      <c r="M19" s="11" t="n">
        <v>33.4</v>
      </c>
      <c r="N19" s="4" t="n">
        <v>-909</v>
      </c>
      <c r="O19" s="8" t="n">
        <v>2</v>
      </c>
      <c r="P19" s="4" t="n">
        <f aca="false">H19+K19+N19</f>
        <v>-749</v>
      </c>
      <c r="Q19" s="4" t="n">
        <f aca="false">Q18+P19</f>
        <v>4514</v>
      </c>
      <c r="R19" s="4" t="n">
        <f aca="false">Q19-MAX(0,MAX($Q$2:Q19))</f>
        <v>-3704</v>
      </c>
    </row>
    <row r="20" customFormat="false" ht="15" hidden="false" customHeight="false" outlineLevel="0" collapsed="false">
      <c r="A20" s="7" t="n">
        <v>42943</v>
      </c>
      <c r="B20" s="8" t="n">
        <f aca="false">YEAR(A20)</f>
        <v>2017</v>
      </c>
      <c r="C20" s="8" t="n">
        <f aca="false">MONTH(A20)</f>
        <v>7</v>
      </c>
      <c r="D20" s="8" t="s">
        <v>36</v>
      </c>
      <c r="E20" s="9" t="n">
        <v>10063.2</v>
      </c>
      <c r="F20" s="10" t="n">
        <v>11.17</v>
      </c>
      <c r="G20" s="11" t="n">
        <v>53.5</v>
      </c>
      <c r="H20" s="4" t="n">
        <v>-1320</v>
      </c>
      <c r="I20" s="8" t="n">
        <v>2</v>
      </c>
      <c r="J20" s="11" t="n">
        <v>51.4</v>
      </c>
      <c r="K20" s="4" t="n">
        <v>-1277</v>
      </c>
      <c r="L20" s="8" t="n">
        <v>2</v>
      </c>
      <c r="M20" s="11" t="n">
        <v>48.7</v>
      </c>
      <c r="N20" s="4" t="n">
        <v>-1222</v>
      </c>
      <c r="O20" s="8" t="n">
        <v>2</v>
      </c>
      <c r="P20" s="4" t="n">
        <f aca="false">H20+K20+N20</f>
        <v>-3819</v>
      </c>
      <c r="Q20" s="4" t="n">
        <f aca="false">Q19+P20</f>
        <v>695</v>
      </c>
      <c r="R20" s="4" t="n">
        <f aca="false">Q20-MAX(0,MAX($Q$2:Q20))</f>
        <v>-7523</v>
      </c>
    </row>
    <row r="21" customFormat="false" ht="15" hidden="false" customHeight="false" outlineLevel="0" collapsed="false">
      <c r="A21" s="7" t="n">
        <v>42978</v>
      </c>
      <c r="B21" s="8" t="n">
        <f aca="false">YEAR(A21)</f>
        <v>2017</v>
      </c>
      <c r="C21" s="8" t="n">
        <f aca="false">MONTH(A21)</f>
        <v>8</v>
      </c>
      <c r="D21" s="8" t="s">
        <v>36</v>
      </c>
      <c r="E21" s="9" t="n">
        <v>9905.7</v>
      </c>
      <c r="F21" s="10" t="n">
        <v>12.89</v>
      </c>
      <c r="G21" s="11" t="n">
        <v>53</v>
      </c>
      <c r="H21" s="4" t="n">
        <v>-128</v>
      </c>
      <c r="I21" s="8" t="n">
        <v>1</v>
      </c>
      <c r="J21" s="11" t="n">
        <v>50.9</v>
      </c>
      <c r="K21" s="4" t="n">
        <v>1844</v>
      </c>
      <c r="L21" s="8" t="n">
        <v>1</v>
      </c>
      <c r="M21" s="11" t="n">
        <v>48.4</v>
      </c>
      <c r="N21" s="4" t="n">
        <v>-63</v>
      </c>
      <c r="O21" s="8" t="n">
        <v>1</v>
      </c>
      <c r="P21" s="4" t="n">
        <f aca="false">H21+K21+N21</f>
        <v>1653</v>
      </c>
      <c r="Q21" s="4" t="n">
        <f aca="false">Q20+P21</f>
        <v>2348</v>
      </c>
      <c r="R21" s="4" t="n">
        <f aca="false">Q21-MAX(0,MAX($Q$2:Q21))</f>
        <v>-5870</v>
      </c>
    </row>
    <row r="22" customFormat="false" ht="15" hidden="false" customHeight="false" outlineLevel="0" collapsed="false">
      <c r="A22" s="7" t="n">
        <v>43006</v>
      </c>
      <c r="B22" s="8" t="n">
        <f aca="false">YEAR(A22)</f>
        <v>2017</v>
      </c>
      <c r="C22" s="8" t="n">
        <f aca="false">MONTH(A22)</f>
        <v>9</v>
      </c>
      <c r="D22" s="8" t="s">
        <v>36</v>
      </c>
      <c r="E22" s="9" t="n">
        <v>9736.4</v>
      </c>
      <c r="F22" s="10" t="n">
        <v>13.86</v>
      </c>
      <c r="G22" s="11" t="n">
        <v>65</v>
      </c>
      <c r="H22" s="4" t="n">
        <v>565</v>
      </c>
      <c r="I22" s="8" t="n">
        <v>1</v>
      </c>
      <c r="J22" s="11" t="n">
        <v>63.4</v>
      </c>
      <c r="K22" s="4" t="n">
        <v>-1521</v>
      </c>
      <c r="L22" s="8" t="n">
        <v>2</v>
      </c>
      <c r="M22" s="11" t="n">
        <v>59.5</v>
      </c>
      <c r="N22" s="4" t="n">
        <v>-1443</v>
      </c>
      <c r="O22" s="8" t="n">
        <v>2</v>
      </c>
      <c r="P22" s="4" t="n">
        <f aca="false">H22+K22+N22</f>
        <v>-2399</v>
      </c>
      <c r="Q22" s="4" t="n">
        <f aca="false">Q21+P22</f>
        <v>-51</v>
      </c>
      <c r="R22" s="4" t="n">
        <f aca="false">Q22-MAX(0,MAX($Q$2:Q22))</f>
        <v>-8269</v>
      </c>
    </row>
    <row r="23" customFormat="false" ht="15" hidden="false" customHeight="false" outlineLevel="0" collapsed="false">
      <c r="A23" s="7" t="n">
        <v>43034</v>
      </c>
      <c r="B23" s="8" t="n">
        <f aca="false">YEAR(A23)</f>
        <v>2017</v>
      </c>
      <c r="C23" s="8" t="n">
        <f aca="false">MONTH(A23)</f>
        <v>10</v>
      </c>
      <c r="D23" s="8" t="s">
        <v>36</v>
      </c>
      <c r="E23" s="9" t="n">
        <v>10291.8</v>
      </c>
      <c r="F23" s="10" t="n">
        <v>11.76</v>
      </c>
      <c r="G23" s="11" t="n">
        <v>59.4</v>
      </c>
      <c r="H23" s="4" t="n">
        <v>2043</v>
      </c>
      <c r="I23" s="8" t="n">
        <v>1</v>
      </c>
      <c r="J23" s="11" t="n">
        <v>56.7</v>
      </c>
      <c r="K23" s="4" t="n">
        <v>1774</v>
      </c>
      <c r="L23" s="8" t="n">
        <v>1</v>
      </c>
      <c r="M23" s="11" t="n">
        <v>55.2</v>
      </c>
      <c r="N23" s="4" t="n">
        <v>1931</v>
      </c>
      <c r="O23" s="8" t="n">
        <v>1</v>
      </c>
      <c r="P23" s="4" t="n">
        <f aca="false">H23+K23+N23</f>
        <v>5748</v>
      </c>
      <c r="Q23" s="4" t="n">
        <f aca="false">Q22+P23</f>
        <v>5697</v>
      </c>
      <c r="R23" s="4" t="n">
        <f aca="false">Q23-MAX(0,MAX($Q$2:Q23))</f>
        <v>-2521</v>
      </c>
    </row>
    <row r="24" customFormat="false" ht="15" hidden="false" customHeight="false" outlineLevel="0" collapsed="false">
      <c r="A24" s="7" t="n">
        <v>43069</v>
      </c>
      <c r="B24" s="8" t="n">
        <f aca="false">YEAR(A24)</f>
        <v>2017</v>
      </c>
      <c r="C24" s="8" t="n">
        <f aca="false">MONTH(A24)</f>
        <v>11</v>
      </c>
      <c r="D24" s="8" t="s">
        <v>36</v>
      </c>
      <c r="E24" s="9" t="n">
        <v>10332.7</v>
      </c>
      <c r="F24" s="10" t="n">
        <v>13.06</v>
      </c>
      <c r="G24" s="11" t="n">
        <v>48.8</v>
      </c>
      <c r="H24" s="4" t="n">
        <v>1142</v>
      </c>
      <c r="I24" s="8" t="n">
        <v>1</v>
      </c>
      <c r="J24" s="11" t="n">
        <v>48.1</v>
      </c>
      <c r="K24" s="4" t="n">
        <v>310</v>
      </c>
      <c r="L24" s="8" t="n">
        <v>1</v>
      </c>
      <c r="M24" s="11" t="n">
        <v>46.6</v>
      </c>
      <c r="N24" s="4" t="n">
        <v>-1177</v>
      </c>
      <c r="O24" s="8" t="n">
        <v>2</v>
      </c>
      <c r="P24" s="4" t="n">
        <f aca="false">H24+K24+N24</f>
        <v>275</v>
      </c>
      <c r="Q24" s="4" t="n">
        <f aca="false">Q23+P24</f>
        <v>5972</v>
      </c>
      <c r="R24" s="4" t="n">
        <f aca="false">Q24-MAX(0,MAX($Q$2:Q24))</f>
        <v>-2246</v>
      </c>
    </row>
    <row r="25" customFormat="false" ht="15" hidden="false" customHeight="false" outlineLevel="0" collapsed="false">
      <c r="A25" s="7" t="n">
        <v>43097</v>
      </c>
      <c r="B25" s="8" t="n">
        <f aca="false">YEAR(A25)</f>
        <v>2017</v>
      </c>
      <c r="C25" s="8" t="n">
        <f aca="false">MONTH(A25)</f>
        <v>12</v>
      </c>
      <c r="D25" s="8" t="s">
        <v>36</v>
      </c>
      <c r="E25" s="9" t="n">
        <v>10498.2</v>
      </c>
      <c r="F25" s="10" t="n">
        <v>12.49</v>
      </c>
      <c r="G25" s="11" t="n">
        <v>48.3</v>
      </c>
      <c r="H25" s="4" t="n">
        <v>1266</v>
      </c>
      <c r="I25" s="8" t="n">
        <v>1</v>
      </c>
      <c r="J25" s="11" t="n">
        <v>46.4</v>
      </c>
      <c r="K25" s="4" t="n">
        <v>-810</v>
      </c>
      <c r="L25" s="8" t="n">
        <v>1</v>
      </c>
      <c r="M25" s="11" t="n">
        <v>44.1</v>
      </c>
      <c r="N25" s="4" t="n">
        <v>-1128</v>
      </c>
      <c r="O25" s="8" t="n">
        <v>2</v>
      </c>
      <c r="P25" s="4" t="n">
        <f aca="false">H25+K25+N25</f>
        <v>-672</v>
      </c>
      <c r="Q25" s="4" t="n">
        <f aca="false">Q24+P25</f>
        <v>5300</v>
      </c>
      <c r="R25" s="4" t="n">
        <f aca="false">Q25-MAX(0,MAX($Q$2:Q25))</f>
        <v>-2918</v>
      </c>
    </row>
    <row r="26" customFormat="false" ht="15" hidden="false" customHeight="false" outlineLevel="0" collapsed="false">
      <c r="A26" s="7" t="n">
        <v>43125</v>
      </c>
      <c r="B26" s="8" t="n">
        <f aca="false">YEAR(A26)</f>
        <v>2018</v>
      </c>
      <c r="C26" s="8" t="n">
        <f aca="false">MONTH(A26)</f>
        <v>1</v>
      </c>
      <c r="D26" s="8" t="s">
        <v>36</v>
      </c>
      <c r="E26" s="9" t="n">
        <v>11095.6</v>
      </c>
      <c r="F26" s="10" t="n">
        <v>18.04</v>
      </c>
      <c r="G26" s="11" t="n">
        <v>57.2</v>
      </c>
      <c r="H26" s="4" t="n">
        <v>590</v>
      </c>
      <c r="I26" s="8" t="n">
        <v>1</v>
      </c>
      <c r="J26" s="11" t="n">
        <v>53.8</v>
      </c>
      <c r="K26" s="4" t="n">
        <v>85</v>
      </c>
      <c r="L26" s="8" t="n">
        <v>1</v>
      </c>
      <c r="M26" s="11" t="n">
        <v>51.3</v>
      </c>
      <c r="N26" s="4" t="n">
        <v>58</v>
      </c>
      <c r="O26" s="8" t="n">
        <v>1</v>
      </c>
      <c r="P26" s="4" t="n">
        <f aca="false">H26+K26+N26</f>
        <v>733</v>
      </c>
      <c r="Q26" s="4" t="n">
        <f aca="false">Q25+P26</f>
        <v>6033</v>
      </c>
      <c r="R26" s="4" t="n">
        <f aca="false">Q26-MAX(0,MAX($Q$2:Q26))</f>
        <v>-2185</v>
      </c>
    </row>
    <row r="27" customFormat="false" ht="15" hidden="false" customHeight="false" outlineLevel="0" collapsed="false">
      <c r="A27" s="7" t="n">
        <v>43153</v>
      </c>
      <c r="B27" s="8" t="n">
        <f aca="false">YEAR(A27)</f>
        <v>2018</v>
      </c>
      <c r="C27" s="8" t="n">
        <f aca="false">MONTH(A27)</f>
        <v>2</v>
      </c>
      <c r="D27" s="8" t="s">
        <v>36</v>
      </c>
      <c r="E27" s="9" t="n">
        <v>10354.4</v>
      </c>
      <c r="F27" s="10" t="n">
        <v>15.92</v>
      </c>
      <c r="G27" s="11" t="n">
        <v>57</v>
      </c>
      <c r="H27" s="4" t="n">
        <v>963</v>
      </c>
      <c r="I27" s="8" t="n">
        <v>1</v>
      </c>
      <c r="J27" s="11" t="n">
        <v>55.4</v>
      </c>
      <c r="K27" s="4" t="n">
        <v>831</v>
      </c>
      <c r="L27" s="8" t="n">
        <v>1</v>
      </c>
      <c r="M27" s="11" t="n">
        <v>52.9</v>
      </c>
      <c r="N27" s="4" t="n">
        <v>663</v>
      </c>
      <c r="O27" s="8" t="n">
        <v>1</v>
      </c>
      <c r="P27" s="4" t="n">
        <f aca="false">H27+K27+N27</f>
        <v>2457</v>
      </c>
      <c r="Q27" s="4" t="n">
        <f aca="false">Q26+P27</f>
        <v>8490</v>
      </c>
      <c r="R27" s="4" t="n">
        <f aca="false">Q27-MAX(0,MAX($Q$2:Q27))</f>
        <v>0</v>
      </c>
    </row>
    <row r="28" customFormat="false" ht="15" hidden="false" customHeight="false" outlineLevel="0" collapsed="false">
      <c r="A28" s="7" t="n">
        <v>43187</v>
      </c>
      <c r="B28" s="8" t="n">
        <f aca="false">YEAR(A28)</f>
        <v>2018</v>
      </c>
      <c r="C28" s="8" t="n">
        <f aca="false">MONTH(A28)</f>
        <v>3</v>
      </c>
      <c r="D28" s="8" t="s">
        <v>37</v>
      </c>
      <c r="E28" s="9" t="n">
        <v>10143.6</v>
      </c>
      <c r="F28" s="10" t="n">
        <v>15.55</v>
      </c>
      <c r="G28" s="11" t="n">
        <v>49.6</v>
      </c>
      <c r="H28" s="4" t="n">
        <v>372</v>
      </c>
      <c r="I28" s="8" t="n">
        <v>1</v>
      </c>
      <c r="J28" s="11" t="n">
        <v>48.9</v>
      </c>
      <c r="K28" s="4" t="n">
        <v>186</v>
      </c>
      <c r="L28" s="8" t="n">
        <v>1</v>
      </c>
      <c r="M28" s="11" t="n">
        <v>47.2</v>
      </c>
      <c r="N28" s="4" t="n">
        <v>-191</v>
      </c>
      <c r="O28" s="8" t="n">
        <v>1</v>
      </c>
      <c r="P28" s="4" t="n">
        <f aca="false">H28+K28+N28</f>
        <v>367</v>
      </c>
      <c r="Q28" s="4" t="n">
        <f aca="false">Q27+P28</f>
        <v>8857</v>
      </c>
      <c r="R28" s="4" t="n">
        <f aca="false">Q28-MAX(0,MAX($Q$2:Q28))</f>
        <v>0</v>
      </c>
    </row>
    <row r="29" customFormat="false" ht="15" hidden="false" customHeight="false" outlineLevel="0" collapsed="false">
      <c r="A29" s="7" t="n">
        <v>43216</v>
      </c>
      <c r="B29" s="8" t="n">
        <f aca="false">YEAR(A29)</f>
        <v>2018</v>
      </c>
      <c r="C29" s="8" t="n">
        <f aca="false">MONTH(A29)</f>
        <v>4</v>
      </c>
      <c r="D29" s="8" t="s">
        <v>36</v>
      </c>
      <c r="E29" s="9" t="n">
        <v>10586.5</v>
      </c>
      <c r="F29" s="10" t="n">
        <v>12.4</v>
      </c>
      <c r="G29" s="11" t="n">
        <v>42.7</v>
      </c>
      <c r="H29" s="4" t="n">
        <v>-1099</v>
      </c>
      <c r="I29" s="8" t="n">
        <v>2</v>
      </c>
      <c r="J29" s="11" t="n">
        <v>40.7</v>
      </c>
      <c r="K29" s="4" t="n">
        <v>-1058</v>
      </c>
      <c r="L29" s="8" t="n">
        <v>2</v>
      </c>
      <c r="M29" s="11" t="n">
        <v>39.8</v>
      </c>
      <c r="N29" s="4" t="n">
        <v>-1040</v>
      </c>
      <c r="O29" s="8" t="n">
        <v>2</v>
      </c>
      <c r="P29" s="4" t="n">
        <f aca="false">H29+K29+N29</f>
        <v>-3197</v>
      </c>
      <c r="Q29" s="4" t="n">
        <f aca="false">Q28+P29</f>
        <v>5660</v>
      </c>
      <c r="R29" s="4" t="n">
        <f aca="false">Q29-MAX(0,MAX($Q$2:Q29))</f>
        <v>-3197</v>
      </c>
    </row>
    <row r="30" customFormat="false" ht="15" hidden="false" customHeight="false" outlineLevel="0" collapsed="false">
      <c r="A30" s="7" t="n">
        <v>43251</v>
      </c>
      <c r="B30" s="8" t="n">
        <f aca="false">YEAR(A30)</f>
        <v>2018</v>
      </c>
      <c r="C30" s="8" t="n">
        <f aca="false">MONTH(A30)</f>
        <v>5</v>
      </c>
      <c r="D30" s="8" t="s">
        <v>36</v>
      </c>
      <c r="E30" s="9" t="n">
        <v>10670.1</v>
      </c>
      <c r="F30" s="10" t="n">
        <v>13.41</v>
      </c>
      <c r="G30" s="11" t="n">
        <v>48.3</v>
      </c>
      <c r="H30" s="4" t="n">
        <v>1334</v>
      </c>
      <c r="I30" s="8" t="n">
        <v>1</v>
      </c>
      <c r="J30" s="11" t="n">
        <v>48.6</v>
      </c>
      <c r="K30" s="4" t="n">
        <v>1677</v>
      </c>
      <c r="L30" s="8" t="n">
        <v>1</v>
      </c>
      <c r="M30" s="11" t="n">
        <v>44.8</v>
      </c>
      <c r="N30" s="4" t="n">
        <v>1260</v>
      </c>
      <c r="O30" s="8" t="n">
        <v>1</v>
      </c>
      <c r="P30" s="4" t="n">
        <f aca="false">H30+K30+N30</f>
        <v>4271</v>
      </c>
      <c r="Q30" s="4" t="n">
        <f aca="false">Q29+P30</f>
        <v>9931</v>
      </c>
      <c r="R30" s="4" t="n">
        <f aca="false">Q30-MAX(0,MAX($Q$2:Q30))</f>
        <v>0</v>
      </c>
    </row>
    <row r="31" customFormat="false" ht="15" hidden="false" customHeight="false" outlineLevel="0" collapsed="false">
      <c r="A31" s="7" t="n">
        <v>43279</v>
      </c>
      <c r="B31" s="8" t="n">
        <f aca="false">YEAR(A31)</f>
        <v>2018</v>
      </c>
      <c r="C31" s="8" t="n">
        <f aca="false">MONTH(A31)</f>
        <v>6</v>
      </c>
      <c r="D31" s="8" t="s">
        <v>36</v>
      </c>
      <c r="E31" s="9" t="n">
        <v>10660.8</v>
      </c>
      <c r="F31" s="10" t="n">
        <v>13.51</v>
      </c>
      <c r="G31" s="11" t="n">
        <v>56.2</v>
      </c>
      <c r="H31" s="4" t="n">
        <v>-1375</v>
      </c>
      <c r="I31" s="8" t="n">
        <v>2</v>
      </c>
      <c r="J31" s="11" t="n">
        <v>55.5</v>
      </c>
      <c r="K31" s="4" t="n">
        <v>1552</v>
      </c>
      <c r="L31" s="8" t="n">
        <v>1</v>
      </c>
      <c r="M31" s="11" t="n">
        <v>53.8</v>
      </c>
      <c r="N31" s="4" t="n">
        <v>1703</v>
      </c>
      <c r="O31" s="8" t="n">
        <v>1</v>
      </c>
      <c r="P31" s="4" t="n">
        <f aca="false">H31+K31+N31</f>
        <v>1880</v>
      </c>
      <c r="Q31" s="4" t="n">
        <f aca="false">Q30+P31</f>
        <v>11811</v>
      </c>
      <c r="R31" s="4" t="n">
        <f aca="false">Q31-MAX(0,MAX($Q$2:Q31))</f>
        <v>0</v>
      </c>
    </row>
    <row r="32" customFormat="false" ht="15" hidden="false" customHeight="false" outlineLevel="0" collapsed="false">
      <c r="A32" s="7" t="n">
        <v>43307</v>
      </c>
      <c r="B32" s="8" t="n">
        <f aca="false">YEAR(A32)</f>
        <v>2018</v>
      </c>
      <c r="C32" s="8" t="n">
        <f aca="false">MONTH(A32)</f>
        <v>7</v>
      </c>
      <c r="D32" s="8" t="s">
        <v>36</v>
      </c>
      <c r="E32" s="9" t="n">
        <v>11133</v>
      </c>
      <c r="F32" s="10" t="n">
        <v>12.21</v>
      </c>
      <c r="G32" s="11" t="n">
        <v>43.2</v>
      </c>
      <c r="H32" s="4" t="n">
        <v>-1109</v>
      </c>
      <c r="I32" s="8" t="n">
        <v>2</v>
      </c>
      <c r="J32" s="11" t="n">
        <v>43.1</v>
      </c>
      <c r="K32" s="4" t="n">
        <v>404</v>
      </c>
      <c r="L32" s="8" t="n">
        <v>1</v>
      </c>
      <c r="M32" s="11" t="n">
        <v>39.7</v>
      </c>
      <c r="N32" s="4" t="n">
        <v>-1037</v>
      </c>
      <c r="O32" s="8" t="n">
        <v>2</v>
      </c>
      <c r="P32" s="4" t="n">
        <f aca="false">H32+K32+N32</f>
        <v>-1742</v>
      </c>
      <c r="Q32" s="4" t="n">
        <f aca="false">Q31+P32</f>
        <v>10069</v>
      </c>
      <c r="R32" s="4" t="n">
        <f aca="false">Q32-MAX(0,MAX($Q$2:Q32))</f>
        <v>-1742</v>
      </c>
    </row>
    <row r="33" customFormat="false" ht="15" hidden="false" customHeight="false" outlineLevel="0" collapsed="false">
      <c r="A33" s="7" t="n">
        <v>43342</v>
      </c>
      <c r="B33" s="8" t="n">
        <f aca="false">YEAR(A33)</f>
        <v>2018</v>
      </c>
      <c r="C33" s="8" t="n">
        <f aca="false">MONTH(A33)</f>
        <v>8</v>
      </c>
      <c r="D33" s="8" t="s">
        <v>36</v>
      </c>
      <c r="E33" s="9" t="n">
        <v>11694.8</v>
      </c>
      <c r="F33" s="10" t="n">
        <v>12.44</v>
      </c>
      <c r="G33" s="11" t="n">
        <v>49.4</v>
      </c>
      <c r="H33" s="4" t="n">
        <v>149</v>
      </c>
      <c r="I33" s="8" t="n">
        <v>1</v>
      </c>
      <c r="J33" s="11" t="n">
        <v>44.6</v>
      </c>
      <c r="K33" s="4" t="n">
        <v>196</v>
      </c>
      <c r="L33" s="8" t="n">
        <v>1</v>
      </c>
      <c r="M33" s="11" t="n">
        <v>45.5</v>
      </c>
      <c r="N33" s="4" t="n">
        <v>891</v>
      </c>
      <c r="O33" s="8" t="n">
        <v>0</v>
      </c>
      <c r="P33" s="4" t="n">
        <f aca="false">H33+K33+N33</f>
        <v>1236</v>
      </c>
      <c r="Q33" s="4" t="n">
        <f aca="false">Q32+P33</f>
        <v>11305</v>
      </c>
      <c r="R33" s="4" t="n">
        <f aca="false">Q33-MAX(0,MAX($Q$2:Q33))</f>
        <v>-506</v>
      </c>
    </row>
    <row r="34" customFormat="false" ht="15" hidden="false" customHeight="false" outlineLevel="0" collapsed="false">
      <c r="A34" s="7" t="n">
        <v>43370</v>
      </c>
      <c r="B34" s="8" t="n">
        <f aca="false">YEAR(A34)</f>
        <v>2018</v>
      </c>
      <c r="C34" s="8" t="n">
        <f aca="false">MONTH(A34)</f>
        <v>9</v>
      </c>
      <c r="D34" s="8" t="s">
        <v>36</v>
      </c>
      <c r="E34" s="9" t="n">
        <v>11079.8</v>
      </c>
      <c r="F34" s="10" t="n">
        <v>17.09</v>
      </c>
      <c r="G34" s="11" t="n">
        <v>86</v>
      </c>
      <c r="H34" s="4" t="n">
        <v>2526</v>
      </c>
      <c r="I34" s="8" t="n">
        <v>1</v>
      </c>
      <c r="J34" s="11" t="n">
        <v>82</v>
      </c>
      <c r="K34" s="4" t="n">
        <v>1718</v>
      </c>
      <c r="L34" s="8" t="n">
        <v>1</v>
      </c>
      <c r="M34" s="11" t="n">
        <v>78.4</v>
      </c>
      <c r="N34" s="4" t="n">
        <v>1106</v>
      </c>
      <c r="O34" s="8" t="n">
        <v>1</v>
      </c>
      <c r="P34" s="4" t="n">
        <f aca="false">H34+K34+N34</f>
        <v>5350</v>
      </c>
      <c r="Q34" s="4" t="n">
        <f aca="false">Q33+P34</f>
        <v>16655</v>
      </c>
      <c r="R34" s="4" t="n">
        <f aca="false">Q34-MAX(0,MAX($Q$2:Q34))</f>
        <v>0</v>
      </c>
    </row>
    <row r="35" customFormat="false" ht="15" hidden="false" customHeight="false" outlineLevel="0" collapsed="false">
      <c r="A35" s="7" t="n">
        <v>43398</v>
      </c>
      <c r="B35" s="8" t="n">
        <f aca="false">YEAR(A35)</f>
        <v>2018</v>
      </c>
      <c r="C35" s="8" t="n">
        <f aca="false">MONTH(A35)</f>
        <v>10</v>
      </c>
      <c r="D35" s="8" t="s">
        <v>36</v>
      </c>
      <c r="E35" s="9" t="n">
        <v>10135</v>
      </c>
      <c r="F35" s="10" t="n">
        <v>18.88</v>
      </c>
      <c r="G35" s="11" t="n">
        <v>79.9</v>
      </c>
      <c r="H35" s="4" t="n">
        <v>1549</v>
      </c>
      <c r="I35" s="8" t="n">
        <v>1</v>
      </c>
      <c r="J35" s="11" t="n">
        <v>78.9</v>
      </c>
      <c r="K35" s="4" t="n">
        <v>683</v>
      </c>
      <c r="L35" s="8" t="n">
        <v>1</v>
      </c>
      <c r="M35" s="11" t="n">
        <v>73.7</v>
      </c>
      <c r="N35" s="4" t="n">
        <v>-1734</v>
      </c>
      <c r="O35" s="8" t="n">
        <v>2</v>
      </c>
      <c r="P35" s="4" t="n">
        <f aca="false">H35+K35+N35</f>
        <v>498</v>
      </c>
      <c r="Q35" s="4" t="n">
        <f aca="false">Q34+P35</f>
        <v>17153</v>
      </c>
      <c r="R35" s="4" t="n">
        <f aca="false">Q35-MAX(0,MAX($Q$2:Q35))</f>
        <v>0</v>
      </c>
    </row>
    <row r="36" customFormat="false" ht="15" hidden="false" customHeight="false" outlineLevel="0" collapsed="false">
      <c r="A36" s="7" t="n">
        <v>43433</v>
      </c>
      <c r="B36" s="8" t="n">
        <f aca="false">YEAR(A36)</f>
        <v>2018</v>
      </c>
      <c r="C36" s="8" t="n">
        <f aca="false">MONTH(A36)</f>
        <v>11</v>
      </c>
      <c r="D36" s="8" t="s">
        <v>36</v>
      </c>
      <c r="E36" s="9" t="n">
        <v>10808.7</v>
      </c>
      <c r="F36" s="10" t="n">
        <v>17.96</v>
      </c>
      <c r="G36" s="11" t="n">
        <v>53.1</v>
      </c>
      <c r="H36" s="4" t="n">
        <v>572</v>
      </c>
      <c r="I36" s="8" t="n">
        <v>1</v>
      </c>
      <c r="J36" s="11" t="n">
        <v>51.3</v>
      </c>
      <c r="K36" s="4" t="n">
        <v>633</v>
      </c>
      <c r="L36" s="8" t="n">
        <v>1</v>
      </c>
      <c r="M36" s="11" t="n">
        <v>51.8</v>
      </c>
      <c r="N36" s="4" t="n">
        <v>-18</v>
      </c>
      <c r="O36" s="8" t="n">
        <v>1</v>
      </c>
      <c r="P36" s="4" t="n">
        <f aca="false">H36+K36+N36</f>
        <v>1187</v>
      </c>
      <c r="Q36" s="4" t="n">
        <f aca="false">Q35+P36</f>
        <v>18340</v>
      </c>
      <c r="R36" s="4" t="n">
        <f aca="false">Q36-MAX(0,MAX($Q$2:Q36))</f>
        <v>0</v>
      </c>
    </row>
    <row r="37" customFormat="false" ht="15" hidden="false" customHeight="false" outlineLevel="0" collapsed="false">
      <c r="A37" s="7" t="n">
        <v>43461</v>
      </c>
      <c r="B37" s="8" t="n">
        <f aca="false">YEAR(A37)</f>
        <v>2018</v>
      </c>
      <c r="C37" s="8" t="n">
        <f aca="false">MONTH(A37)</f>
        <v>12</v>
      </c>
      <c r="D37" s="8" t="s">
        <v>36</v>
      </c>
      <c r="E37" s="9" t="n">
        <v>10817.9</v>
      </c>
      <c r="F37" s="10" t="n">
        <v>15.92</v>
      </c>
      <c r="G37" s="11" t="n">
        <v>77</v>
      </c>
      <c r="H37" s="4" t="n">
        <v>-1800</v>
      </c>
      <c r="I37" s="8" t="n">
        <v>2</v>
      </c>
      <c r="J37" s="11" t="n">
        <v>75.3</v>
      </c>
      <c r="K37" s="4" t="n">
        <v>647</v>
      </c>
      <c r="L37" s="8" t="n">
        <v>1</v>
      </c>
      <c r="M37" s="11" t="n">
        <v>71.6</v>
      </c>
      <c r="N37" s="4" t="n">
        <v>-1691</v>
      </c>
      <c r="O37" s="8" t="n">
        <v>2</v>
      </c>
      <c r="P37" s="4" t="n">
        <f aca="false">H37+K37+N37</f>
        <v>-2844</v>
      </c>
      <c r="Q37" s="4" t="n">
        <f aca="false">Q36+P37</f>
        <v>15496</v>
      </c>
      <c r="R37" s="4" t="n">
        <f aca="false">Q37-MAX(0,MAX($Q$2:Q37))</f>
        <v>-2844</v>
      </c>
    </row>
    <row r="38" customFormat="false" ht="15" hidden="false" customHeight="false" outlineLevel="0" collapsed="false">
      <c r="A38" s="7" t="n">
        <v>43496</v>
      </c>
      <c r="B38" s="8" t="n">
        <f aca="false">YEAR(A38)</f>
        <v>2019</v>
      </c>
      <c r="C38" s="8" t="n">
        <f aca="false">MONTH(A38)</f>
        <v>1</v>
      </c>
      <c r="D38" s="8" t="s">
        <v>36</v>
      </c>
      <c r="E38" s="9" t="n">
        <v>10690.6</v>
      </c>
      <c r="F38" s="10" t="n">
        <v>17.85</v>
      </c>
      <c r="G38" s="11" t="n">
        <v>54.5</v>
      </c>
      <c r="H38" s="4" t="n">
        <v>-1340</v>
      </c>
      <c r="I38" s="8" t="n">
        <v>2</v>
      </c>
      <c r="J38" s="11" t="n">
        <v>53.2</v>
      </c>
      <c r="K38" s="4" t="n">
        <v>1275</v>
      </c>
      <c r="L38" s="8" t="n">
        <v>1</v>
      </c>
      <c r="M38" s="11" t="n">
        <v>51.1</v>
      </c>
      <c r="N38" s="4" t="n">
        <v>455</v>
      </c>
      <c r="O38" s="8" t="n">
        <v>1</v>
      </c>
      <c r="P38" s="4" t="n">
        <f aca="false">H38+K38+N38</f>
        <v>390</v>
      </c>
      <c r="Q38" s="4" t="n">
        <f aca="false">Q37+P38</f>
        <v>15886</v>
      </c>
      <c r="R38" s="4" t="n">
        <f aca="false">Q38-MAX(0,MAX($Q$2:Q38))</f>
        <v>-2454</v>
      </c>
    </row>
    <row r="39" customFormat="false" ht="15" hidden="false" customHeight="false" outlineLevel="0" collapsed="false">
      <c r="A39" s="7" t="n">
        <v>43510</v>
      </c>
      <c r="B39" s="8" t="n">
        <f aca="false">YEAR(A39)</f>
        <v>2019</v>
      </c>
      <c r="C39" s="8" t="n">
        <f aca="false">MONTH(A39)</f>
        <v>2</v>
      </c>
      <c r="D39" s="8" t="s">
        <v>36</v>
      </c>
      <c r="E39" s="9" t="n">
        <v>10786.1</v>
      </c>
      <c r="F39" s="10" t="n">
        <v>15.75</v>
      </c>
      <c r="G39" s="11" t="n">
        <v>58.2</v>
      </c>
      <c r="H39" s="4" t="n">
        <v>1916</v>
      </c>
      <c r="I39" s="8" t="n">
        <v>1</v>
      </c>
      <c r="J39" s="11" t="n">
        <v>53.6</v>
      </c>
      <c r="K39" s="4" t="n">
        <v>1000</v>
      </c>
      <c r="L39" s="8" t="n">
        <v>1</v>
      </c>
      <c r="M39" s="11" t="n">
        <v>51</v>
      </c>
      <c r="N39" s="4" t="n">
        <v>296</v>
      </c>
      <c r="O39" s="8" t="n">
        <v>1</v>
      </c>
      <c r="P39" s="4" t="n">
        <f aca="false">H39+K39+N39</f>
        <v>3212</v>
      </c>
      <c r="Q39" s="4" t="n">
        <f aca="false">Q38+P39</f>
        <v>19098</v>
      </c>
      <c r="R39" s="4" t="n">
        <f aca="false">Q39-MAX(0,MAX($Q$2:Q39))</f>
        <v>0</v>
      </c>
    </row>
    <row r="40" customFormat="false" ht="15" hidden="false" customHeight="false" outlineLevel="0" collapsed="false">
      <c r="A40" s="7" t="n">
        <v>43517</v>
      </c>
      <c r="B40" s="8" t="n">
        <f aca="false">YEAR(A40)</f>
        <v>2019</v>
      </c>
      <c r="C40" s="8" t="n">
        <f aca="false">MONTH(A40)</f>
        <v>2</v>
      </c>
      <c r="D40" s="8" t="s">
        <v>36</v>
      </c>
      <c r="E40" s="9" t="n">
        <v>10744.1</v>
      </c>
      <c r="F40" s="10" t="n">
        <v>17.06</v>
      </c>
      <c r="G40" s="11" t="n">
        <v>70.1</v>
      </c>
      <c r="H40" s="4" t="n">
        <v>1593</v>
      </c>
      <c r="I40" s="8" t="n">
        <v>1</v>
      </c>
      <c r="J40" s="11" t="n">
        <v>68.7</v>
      </c>
      <c r="K40" s="4" t="n">
        <v>1899</v>
      </c>
      <c r="L40" s="8" t="n">
        <v>1</v>
      </c>
      <c r="M40" s="11" t="n">
        <v>67</v>
      </c>
      <c r="N40" s="4" t="n">
        <v>2205</v>
      </c>
      <c r="O40" s="8" t="n">
        <v>1</v>
      </c>
      <c r="P40" s="4" t="n">
        <f aca="false">H40+K40+N40</f>
        <v>5697</v>
      </c>
      <c r="Q40" s="4" t="n">
        <f aca="false">Q39+P40</f>
        <v>24795</v>
      </c>
      <c r="R40" s="4" t="n">
        <f aca="false">Q40-MAX(0,MAX($Q$2:Q40))</f>
        <v>0</v>
      </c>
    </row>
    <row r="41" customFormat="false" ht="15" hidden="false" customHeight="false" outlineLevel="0" collapsed="false">
      <c r="A41" s="7" t="n">
        <v>43524</v>
      </c>
      <c r="B41" s="8" t="n">
        <f aca="false">YEAR(A41)</f>
        <v>2019</v>
      </c>
      <c r="C41" s="8" t="n">
        <f aca="false">MONTH(A41)</f>
        <v>2</v>
      </c>
      <c r="D41" s="8" t="s">
        <v>36</v>
      </c>
      <c r="E41" s="9" t="n">
        <v>10865.7</v>
      </c>
      <c r="F41" s="10" t="n">
        <v>18.9</v>
      </c>
      <c r="G41" s="11" t="n">
        <v>76.8</v>
      </c>
      <c r="H41" s="4" t="n">
        <v>3608</v>
      </c>
      <c r="I41" s="8" t="n">
        <v>0</v>
      </c>
      <c r="J41" s="11" t="n">
        <v>74.6</v>
      </c>
      <c r="K41" s="4" t="n">
        <v>635</v>
      </c>
      <c r="L41" s="8" t="n">
        <v>1</v>
      </c>
      <c r="M41" s="11" t="n">
        <v>70.5</v>
      </c>
      <c r="N41" s="4" t="n">
        <v>769</v>
      </c>
      <c r="O41" s="8" t="n">
        <v>1</v>
      </c>
      <c r="P41" s="4" t="n">
        <f aca="false">H41+K41+N41</f>
        <v>5012</v>
      </c>
      <c r="Q41" s="4" t="n">
        <f aca="false">Q40+P41</f>
        <v>29807</v>
      </c>
      <c r="R41" s="4" t="n">
        <f aca="false">Q41-MAX(0,MAX($Q$2:Q41))</f>
        <v>0</v>
      </c>
    </row>
    <row r="42" customFormat="false" ht="15" hidden="false" customHeight="false" outlineLevel="0" collapsed="false">
      <c r="A42" s="7" t="n">
        <v>43531</v>
      </c>
      <c r="B42" s="8" t="n">
        <f aca="false">YEAR(A42)</f>
        <v>2019</v>
      </c>
      <c r="C42" s="8" t="n">
        <f aca="false">MONTH(A42)</f>
        <v>3</v>
      </c>
      <c r="D42" s="8" t="s">
        <v>36</v>
      </c>
      <c r="E42" s="9" t="n">
        <v>11078</v>
      </c>
      <c r="F42" s="10" t="n">
        <v>15.61</v>
      </c>
      <c r="G42" s="11" t="n">
        <v>50.9</v>
      </c>
      <c r="H42" s="4" t="n">
        <v>-1266</v>
      </c>
      <c r="I42" s="8" t="n">
        <v>2</v>
      </c>
      <c r="J42" s="11" t="n">
        <v>49.2</v>
      </c>
      <c r="K42" s="4" t="n">
        <v>-1231</v>
      </c>
      <c r="L42" s="8" t="n">
        <v>2</v>
      </c>
      <c r="M42" s="11" t="n">
        <v>49</v>
      </c>
      <c r="N42" s="4" t="n">
        <v>983</v>
      </c>
      <c r="O42" s="8" t="n">
        <v>1</v>
      </c>
      <c r="P42" s="4" t="n">
        <f aca="false">H42+K42+N42</f>
        <v>-1514</v>
      </c>
      <c r="Q42" s="4" t="n">
        <f aca="false">Q41+P42</f>
        <v>28293</v>
      </c>
      <c r="R42" s="4" t="n">
        <f aca="false">Q42-MAX(0,MAX($Q$2:Q42))</f>
        <v>-1514</v>
      </c>
    </row>
    <row r="43" customFormat="false" ht="15" hidden="false" customHeight="false" outlineLevel="0" collapsed="false">
      <c r="A43" s="7" t="n">
        <v>43538</v>
      </c>
      <c r="B43" s="8" t="n">
        <f aca="false">YEAR(A43)</f>
        <v>2019</v>
      </c>
      <c r="C43" s="8" t="n">
        <f aca="false">MONTH(A43)</f>
        <v>3</v>
      </c>
      <c r="D43" s="8" t="s">
        <v>36</v>
      </c>
      <c r="E43" s="9" t="n">
        <v>11382.5</v>
      </c>
      <c r="F43" s="10" t="n">
        <v>15.28</v>
      </c>
      <c r="G43" s="11" t="n">
        <v>61</v>
      </c>
      <c r="H43" s="4" t="n">
        <v>187</v>
      </c>
      <c r="I43" s="8" t="n">
        <v>1</v>
      </c>
      <c r="J43" s="11" t="n">
        <v>57.5</v>
      </c>
      <c r="K43" s="4" t="n">
        <v>1370</v>
      </c>
      <c r="L43" s="8" t="n">
        <v>1</v>
      </c>
      <c r="M43" s="11" t="n">
        <v>53.8</v>
      </c>
      <c r="N43" s="4" t="n">
        <v>698</v>
      </c>
      <c r="O43" s="8" t="n">
        <v>1</v>
      </c>
      <c r="P43" s="4" t="n">
        <f aca="false">H43+K43+N43</f>
        <v>2255</v>
      </c>
      <c r="Q43" s="4" t="n">
        <f aca="false">Q42+P43</f>
        <v>30548</v>
      </c>
      <c r="R43" s="4" t="n">
        <f aca="false">Q43-MAX(0,MAX($Q$2:Q43))</f>
        <v>0</v>
      </c>
    </row>
    <row r="44" customFormat="false" ht="15" hidden="false" customHeight="false" outlineLevel="0" collapsed="false">
      <c r="A44" s="7" t="n">
        <v>43544</v>
      </c>
      <c r="B44" s="8" t="n">
        <f aca="false">YEAR(A44)</f>
        <v>2019</v>
      </c>
      <c r="C44" s="8" t="n">
        <f aca="false">MONTH(A44)</f>
        <v>3</v>
      </c>
      <c r="D44" s="8" t="s">
        <v>37</v>
      </c>
      <c r="E44" s="9" t="n">
        <v>11552</v>
      </c>
      <c r="F44" s="10" t="n">
        <v>16.49</v>
      </c>
      <c r="G44" s="11" t="n">
        <v>53</v>
      </c>
      <c r="H44" s="4" t="n">
        <v>-1309</v>
      </c>
      <c r="I44" s="8" t="n">
        <v>2</v>
      </c>
      <c r="J44" s="11" t="n">
        <v>51.2</v>
      </c>
      <c r="K44" s="4" t="n">
        <v>-1273</v>
      </c>
      <c r="L44" s="8" t="n">
        <v>2</v>
      </c>
      <c r="M44" s="11" t="n">
        <v>47.7</v>
      </c>
      <c r="N44" s="4" t="n">
        <v>964</v>
      </c>
      <c r="O44" s="8" t="n">
        <v>1</v>
      </c>
      <c r="P44" s="4" t="n">
        <f aca="false">H44+K44+N44</f>
        <v>-1618</v>
      </c>
      <c r="Q44" s="4" t="n">
        <f aca="false">Q43+P44</f>
        <v>28930</v>
      </c>
      <c r="R44" s="4" t="n">
        <f aca="false">Q44-MAX(0,MAX($Q$2:Q44))</f>
        <v>-1618</v>
      </c>
    </row>
    <row r="45" customFormat="false" ht="15" hidden="false" customHeight="false" outlineLevel="0" collapsed="false">
      <c r="A45" s="7" t="n">
        <v>43552</v>
      </c>
      <c r="B45" s="8" t="n">
        <f aca="false">YEAR(A45)</f>
        <v>2019</v>
      </c>
      <c r="C45" s="8" t="n">
        <f aca="false">MONTH(A45)</f>
        <v>3</v>
      </c>
      <c r="D45" s="8" t="s">
        <v>36</v>
      </c>
      <c r="E45" s="9" t="n">
        <v>11463.6</v>
      </c>
      <c r="F45" s="10" t="n">
        <v>17.05</v>
      </c>
      <c r="G45" s="11" t="n">
        <v>52.4</v>
      </c>
      <c r="H45" s="4" t="n">
        <v>1534</v>
      </c>
      <c r="I45" s="8" t="n">
        <v>1</v>
      </c>
      <c r="J45" s="11" t="n">
        <v>50.8</v>
      </c>
      <c r="K45" s="4" t="n">
        <v>-1265</v>
      </c>
      <c r="L45" s="8" t="n">
        <v>2</v>
      </c>
      <c r="M45" s="11" t="n">
        <v>47.7</v>
      </c>
      <c r="N45" s="4" t="n">
        <v>1123</v>
      </c>
      <c r="O45" s="8" t="n">
        <v>1</v>
      </c>
      <c r="P45" s="4" t="n">
        <f aca="false">H45+K45+N45</f>
        <v>1392</v>
      </c>
      <c r="Q45" s="4" t="n">
        <f aca="false">Q44+P45</f>
        <v>30322</v>
      </c>
      <c r="R45" s="4" t="n">
        <f aca="false">Q45-MAX(0,MAX($Q$2:Q45))</f>
        <v>-226</v>
      </c>
    </row>
    <row r="46" customFormat="false" ht="15" hidden="false" customHeight="false" outlineLevel="0" collapsed="false">
      <c r="A46" s="7" t="n">
        <v>43559</v>
      </c>
      <c r="B46" s="8" t="n">
        <f aca="false">YEAR(A46)</f>
        <v>2019</v>
      </c>
      <c r="C46" s="8" t="n">
        <f aca="false">MONTH(A46)</f>
        <v>4</v>
      </c>
      <c r="D46" s="8" t="s">
        <v>36</v>
      </c>
      <c r="E46" s="9" t="n">
        <v>11660.2</v>
      </c>
      <c r="F46" s="10" t="n">
        <v>18.78</v>
      </c>
      <c r="G46" s="11" t="n">
        <v>60.7</v>
      </c>
      <c r="H46" s="4" t="n">
        <v>1395</v>
      </c>
      <c r="I46" s="8" t="n">
        <v>1</v>
      </c>
      <c r="J46" s="11" t="n">
        <v>59</v>
      </c>
      <c r="K46" s="4" t="n">
        <v>777</v>
      </c>
      <c r="L46" s="8" t="n">
        <v>1</v>
      </c>
      <c r="M46" s="11" t="n">
        <v>58.4</v>
      </c>
      <c r="N46" s="4" t="n">
        <v>-1420</v>
      </c>
      <c r="O46" s="8" t="n">
        <v>2</v>
      </c>
      <c r="P46" s="4" t="n">
        <f aca="false">H46+K46+N46</f>
        <v>752</v>
      </c>
      <c r="Q46" s="4" t="n">
        <f aca="false">Q45+P46</f>
        <v>31074</v>
      </c>
      <c r="R46" s="4" t="n">
        <f aca="false">Q46-MAX(0,MAX($Q$2:Q46))</f>
        <v>0</v>
      </c>
    </row>
    <row r="47" customFormat="false" ht="15" hidden="false" customHeight="false" outlineLevel="0" collapsed="false">
      <c r="A47" s="7" t="n">
        <v>43566</v>
      </c>
      <c r="B47" s="8" t="n">
        <f aca="false">YEAR(A47)</f>
        <v>2019</v>
      </c>
      <c r="C47" s="8" t="n">
        <f aca="false">MONTH(A47)</f>
        <v>4</v>
      </c>
      <c r="D47" s="8" t="s">
        <v>36</v>
      </c>
      <c r="E47" s="9" t="n">
        <v>11592.6</v>
      </c>
      <c r="F47" s="10" t="n">
        <v>21.13</v>
      </c>
      <c r="G47" s="11" t="n">
        <v>52.5</v>
      </c>
      <c r="H47" s="4" t="n">
        <v>558</v>
      </c>
      <c r="I47" s="8" t="n">
        <v>1</v>
      </c>
      <c r="J47" s="11" t="n">
        <v>52.4</v>
      </c>
      <c r="K47" s="4" t="n">
        <v>-1298</v>
      </c>
      <c r="L47" s="8" t="n">
        <v>2</v>
      </c>
      <c r="M47" s="11" t="n">
        <v>49.3</v>
      </c>
      <c r="N47" s="4" t="n">
        <v>99</v>
      </c>
      <c r="O47" s="8" t="n">
        <v>1</v>
      </c>
      <c r="P47" s="4" t="n">
        <f aca="false">H47+K47+N47</f>
        <v>-641</v>
      </c>
      <c r="Q47" s="4" t="n">
        <f aca="false">Q46+P47</f>
        <v>30433</v>
      </c>
      <c r="R47" s="4" t="n">
        <f aca="false">Q47-MAX(0,MAX($Q$2:Q47))</f>
        <v>-641</v>
      </c>
    </row>
    <row r="48" customFormat="false" ht="15" hidden="false" customHeight="false" outlineLevel="0" collapsed="false">
      <c r="A48" s="7" t="n">
        <v>43573</v>
      </c>
      <c r="B48" s="8" t="n">
        <f aca="false">YEAR(A48)</f>
        <v>2019</v>
      </c>
      <c r="C48" s="8" t="n">
        <f aca="false">MONTH(A48)</f>
        <v>4</v>
      </c>
      <c r="D48" s="8" t="s">
        <v>36</v>
      </c>
      <c r="E48" s="9" t="n">
        <v>11856.2</v>
      </c>
      <c r="F48" s="10" t="n">
        <v>21.69</v>
      </c>
      <c r="G48" s="11" t="n">
        <v>46.2</v>
      </c>
      <c r="H48" s="4" t="n">
        <v>674</v>
      </c>
      <c r="I48" s="8" t="n">
        <v>1</v>
      </c>
      <c r="J48" s="11" t="n">
        <v>48.3</v>
      </c>
      <c r="K48" s="4" t="n">
        <v>1269</v>
      </c>
      <c r="L48" s="8" t="n">
        <v>1</v>
      </c>
      <c r="M48" s="11" t="n">
        <v>42.5</v>
      </c>
      <c r="N48" s="4" t="n">
        <v>563</v>
      </c>
      <c r="O48" s="8" t="n">
        <v>1</v>
      </c>
      <c r="P48" s="4" t="n">
        <f aca="false">H48+K48+N48</f>
        <v>2506</v>
      </c>
      <c r="Q48" s="4" t="n">
        <f aca="false">Q47+P48</f>
        <v>32939</v>
      </c>
      <c r="R48" s="4" t="n">
        <f aca="false">Q48-MAX(0,MAX($Q$2:Q48))</f>
        <v>0</v>
      </c>
    </row>
    <row r="49" customFormat="false" ht="15" hidden="false" customHeight="false" outlineLevel="0" collapsed="false">
      <c r="A49" s="7" t="n">
        <v>43580</v>
      </c>
      <c r="B49" s="8" t="n">
        <f aca="false">YEAR(A49)</f>
        <v>2019</v>
      </c>
      <c r="C49" s="8" t="n">
        <f aca="false">MONTH(A49)</f>
        <v>4</v>
      </c>
      <c r="D49" s="8" t="s">
        <v>36</v>
      </c>
      <c r="E49" s="9" t="n">
        <v>11735.7</v>
      </c>
      <c r="F49" s="10" t="n">
        <v>23.71</v>
      </c>
      <c r="G49" s="11" t="n">
        <v>48.7</v>
      </c>
      <c r="H49" s="4" t="n">
        <v>-1222</v>
      </c>
      <c r="I49" s="8" t="n">
        <v>2</v>
      </c>
      <c r="J49" s="11" t="n">
        <v>47.2</v>
      </c>
      <c r="K49" s="4" t="n">
        <v>-1191</v>
      </c>
      <c r="L49" s="8" t="n">
        <v>2</v>
      </c>
      <c r="M49" s="11" t="n">
        <v>45.1</v>
      </c>
      <c r="N49" s="4" t="n">
        <v>-1147</v>
      </c>
      <c r="O49" s="8" t="n">
        <v>2</v>
      </c>
      <c r="P49" s="4" t="n">
        <f aca="false">H49+K49+N49</f>
        <v>-3560</v>
      </c>
      <c r="Q49" s="4" t="n">
        <f aca="false">Q48+P49</f>
        <v>29379</v>
      </c>
      <c r="R49" s="4" t="n">
        <f aca="false">Q49-MAX(0,MAX($Q$2:Q49))</f>
        <v>-3560</v>
      </c>
    </row>
    <row r="50" customFormat="false" ht="15" hidden="false" customHeight="false" outlineLevel="0" collapsed="false">
      <c r="A50" s="7" t="n">
        <v>43587</v>
      </c>
      <c r="B50" s="8" t="n">
        <f aca="false">YEAR(A50)</f>
        <v>2019</v>
      </c>
      <c r="C50" s="8" t="n">
        <f aca="false">MONTH(A50)</f>
        <v>5</v>
      </c>
      <c r="D50" s="8" t="s">
        <v>36</v>
      </c>
      <c r="E50" s="9" t="n">
        <v>11725.6</v>
      </c>
      <c r="F50" s="10" t="n">
        <v>21.83</v>
      </c>
      <c r="G50" s="11" t="n">
        <v>67.4</v>
      </c>
      <c r="H50" s="4" t="n">
        <v>-1605</v>
      </c>
      <c r="I50" s="8" t="n">
        <v>2</v>
      </c>
      <c r="J50" s="11" t="n">
        <v>65.3</v>
      </c>
      <c r="K50" s="4" t="n">
        <v>-1561</v>
      </c>
      <c r="L50" s="8" t="n">
        <v>2</v>
      </c>
      <c r="M50" s="11" t="n">
        <v>64.7</v>
      </c>
      <c r="N50" s="4" t="n">
        <v>2103</v>
      </c>
      <c r="O50" s="8" t="n">
        <v>1</v>
      </c>
      <c r="P50" s="4" t="n">
        <f aca="false">H50+K50+N50</f>
        <v>-1063</v>
      </c>
      <c r="Q50" s="4" t="n">
        <f aca="false">Q49+P50</f>
        <v>28316</v>
      </c>
      <c r="R50" s="4" t="n">
        <f aca="false">Q50-MAX(0,MAX($Q$2:Q50))</f>
        <v>-4623</v>
      </c>
    </row>
    <row r="51" customFormat="false" ht="15" hidden="false" customHeight="false" outlineLevel="0" collapsed="false">
      <c r="A51" s="7" t="n">
        <v>43594</v>
      </c>
      <c r="B51" s="8" t="n">
        <f aca="false">YEAR(A51)</f>
        <v>2019</v>
      </c>
      <c r="C51" s="8" t="n">
        <f aca="false">MONTH(A51)</f>
        <v>5</v>
      </c>
      <c r="D51" s="8" t="s">
        <v>36</v>
      </c>
      <c r="E51" s="9" t="n">
        <v>11322.4</v>
      </c>
      <c r="F51" s="10" t="n">
        <v>26.37</v>
      </c>
      <c r="G51" s="11" t="n">
        <v>65.4</v>
      </c>
      <c r="H51" s="4" t="n">
        <v>-1564</v>
      </c>
      <c r="I51" s="8" t="n">
        <v>2</v>
      </c>
      <c r="J51" s="11" t="n">
        <v>64.9</v>
      </c>
      <c r="K51" s="4" t="n">
        <v>-1552</v>
      </c>
      <c r="L51" s="8" t="n">
        <v>2</v>
      </c>
      <c r="M51" s="11" t="n">
        <v>64.2</v>
      </c>
      <c r="N51" s="4" t="n">
        <v>-1539</v>
      </c>
      <c r="O51" s="8" t="n">
        <v>2</v>
      </c>
      <c r="P51" s="4" t="n">
        <f aca="false">H51+K51+N51</f>
        <v>-4655</v>
      </c>
      <c r="Q51" s="4" t="n">
        <f aca="false">Q50+P51</f>
        <v>23661</v>
      </c>
      <c r="R51" s="4" t="n">
        <f aca="false">Q51-MAX(0,MAX($Q$2:Q51))</f>
        <v>-9278</v>
      </c>
    </row>
    <row r="52" customFormat="false" ht="15" hidden="false" customHeight="false" outlineLevel="0" collapsed="false">
      <c r="A52" s="7" t="n">
        <v>43601</v>
      </c>
      <c r="B52" s="8" t="n">
        <f aca="false">YEAR(A52)</f>
        <v>2019</v>
      </c>
      <c r="C52" s="8" t="n">
        <f aca="false">MONTH(A52)</f>
        <v>5</v>
      </c>
      <c r="D52" s="8" t="s">
        <v>36</v>
      </c>
      <c r="E52" s="9" t="n">
        <v>11180.4</v>
      </c>
      <c r="F52" s="10" t="n">
        <v>28.66</v>
      </c>
      <c r="G52" s="11" t="n">
        <v>71.4</v>
      </c>
      <c r="H52" s="4" t="n">
        <v>-1685</v>
      </c>
      <c r="I52" s="8" t="n">
        <v>2</v>
      </c>
      <c r="J52" s="11" t="n">
        <v>67.9</v>
      </c>
      <c r="K52" s="4" t="n">
        <v>766</v>
      </c>
      <c r="L52" s="8" t="n">
        <v>1</v>
      </c>
      <c r="M52" s="11" t="n">
        <v>64.2</v>
      </c>
      <c r="N52" s="4" t="n">
        <v>929</v>
      </c>
      <c r="O52" s="8" t="n">
        <v>1</v>
      </c>
      <c r="P52" s="4" t="n">
        <f aca="false">H52+K52+N52</f>
        <v>10</v>
      </c>
      <c r="Q52" s="4" t="n">
        <f aca="false">Q51+P52</f>
        <v>23671</v>
      </c>
      <c r="R52" s="4" t="n">
        <f aca="false">Q52-MAX(0,MAX($Q$2:Q52))</f>
        <v>-9268</v>
      </c>
    </row>
    <row r="53" customFormat="false" ht="15" hidden="false" customHeight="false" outlineLevel="0" collapsed="false">
      <c r="A53" s="7" t="n">
        <v>43608</v>
      </c>
      <c r="B53" s="8" t="n">
        <f aca="false">YEAR(A53)</f>
        <v>2019</v>
      </c>
      <c r="C53" s="8" t="n">
        <f aca="false">MONTH(A53)</f>
        <v>5</v>
      </c>
      <c r="D53" s="8" t="s">
        <v>36</v>
      </c>
      <c r="E53" s="9" t="n">
        <v>11901.3</v>
      </c>
      <c r="F53" s="10" t="n">
        <v>27.63</v>
      </c>
      <c r="G53" s="11" t="n">
        <v>367</v>
      </c>
      <c r="H53" s="4" t="n">
        <v>8634</v>
      </c>
      <c r="I53" s="8" t="n">
        <v>1</v>
      </c>
      <c r="J53" s="11" t="n">
        <v>357.2</v>
      </c>
      <c r="K53" s="4" t="n">
        <v>7678</v>
      </c>
      <c r="L53" s="8" t="n">
        <v>1</v>
      </c>
      <c r="M53" s="11" t="n">
        <v>341.7</v>
      </c>
      <c r="N53" s="4" t="n">
        <v>7254</v>
      </c>
      <c r="O53" s="8" t="n">
        <v>1</v>
      </c>
      <c r="P53" s="4" t="n">
        <f aca="false">H53+K53+N53</f>
        <v>23566</v>
      </c>
      <c r="Q53" s="4" t="n">
        <f aca="false">Q52+P53</f>
        <v>47237</v>
      </c>
      <c r="R53" s="4" t="n">
        <f aca="false">Q53-MAX(0,MAX($Q$2:Q53))</f>
        <v>0</v>
      </c>
    </row>
    <row r="54" customFormat="false" ht="15" hidden="false" customHeight="false" outlineLevel="0" collapsed="false">
      <c r="A54" s="7" t="n">
        <v>43615</v>
      </c>
      <c r="B54" s="8" t="n">
        <f aca="false">YEAR(A54)</f>
        <v>2019</v>
      </c>
      <c r="C54" s="8" t="n">
        <f aca="false">MONTH(A54)</f>
        <v>5</v>
      </c>
      <c r="D54" s="8" t="s">
        <v>36</v>
      </c>
      <c r="E54" s="9" t="n">
        <v>11865.3</v>
      </c>
      <c r="F54" s="10" t="n">
        <v>16.41</v>
      </c>
      <c r="G54" s="11" t="n">
        <v>57.8</v>
      </c>
      <c r="H54" s="4" t="n">
        <v>934</v>
      </c>
      <c r="I54" s="8" t="n">
        <v>1</v>
      </c>
      <c r="J54" s="11" t="n">
        <v>57.1</v>
      </c>
      <c r="K54" s="4" t="n">
        <v>477</v>
      </c>
      <c r="L54" s="8" t="n">
        <v>1</v>
      </c>
      <c r="M54" s="11" t="n">
        <v>54.7</v>
      </c>
      <c r="N54" s="4" t="n">
        <v>355</v>
      </c>
      <c r="O54" s="8" t="n">
        <v>1</v>
      </c>
      <c r="P54" s="4" t="n">
        <f aca="false">H54+K54+N54</f>
        <v>1766</v>
      </c>
      <c r="Q54" s="4" t="n">
        <f aca="false">Q53+P54</f>
        <v>49003</v>
      </c>
      <c r="R54" s="4" t="n">
        <f aca="false">Q54-MAX(0,MAX($Q$2:Q54))</f>
        <v>0</v>
      </c>
    </row>
    <row r="55" customFormat="false" ht="15" hidden="false" customHeight="false" outlineLevel="0" collapsed="false">
      <c r="A55" s="7" t="n">
        <v>43622</v>
      </c>
      <c r="B55" s="8" t="n">
        <f aca="false">YEAR(A55)</f>
        <v>2019</v>
      </c>
      <c r="C55" s="8" t="n">
        <f aca="false">MONTH(A55)</f>
        <v>6</v>
      </c>
      <c r="D55" s="8" t="s">
        <v>36</v>
      </c>
      <c r="E55" s="9" t="n">
        <v>12039.8</v>
      </c>
      <c r="F55" s="10" t="n">
        <v>15.63</v>
      </c>
      <c r="G55" s="11" t="n">
        <v>67.2</v>
      </c>
      <c r="H55" s="4" t="n">
        <v>461</v>
      </c>
      <c r="I55" s="8" t="n">
        <v>1</v>
      </c>
      <c r="J55" s="11" t="n">
        <v>66.2</v>
      </c>
      <c r="K55" s="4" t="n">
        <v>2258</v>
      </c>
      <c r="L55" s="8" t="n">
        <v>1</v>
      </c>
      <c r="M55" s="11" t="n">
        <v>60.9</v>
      </c>
      <c r="N55" s="4" t="n">
        <v>1539</v>
      </c>
      <c r="O55" s="8" t="n">
        <v>1</v>
      </c>
      <c r="P55" s="4" t="n">
        <f aca="false">H55+K55+N55</f>
        <v>4258</v>
      </c>
      <c r="Q55" s="4" t="n">
        <f aca="false">Q54+P55</f>
        <v>53261</v>
      </c>
      <c r="R55" s="4" t="n">
        <f aca="false">Q55-MAX(0,MAX($Q$2:Q55))</f>
        <v>0</v>
      </c>
    </row>
    <row r="56" customFormat="false" ht="15" hidden="false" customHeight="false" outlineLevel="0" collapsed="false">
      <c r="A56" s="7" t="n">
        <v>43629</v>
      </c>
      <c r="B56" s="8" t="n">
        <f aca="false">YEAR(A56)</f>
        <v>2019</v>
      </c>
      <c r="C56" s="8" t="n">
        <f aca="false">MONTH(A56)</f>
        <v>6</v>
      </c>
      <c r="D56" s="8" t="s">
        <v>36</v>
      </c>
      <c r="E56" s="9" t="n">
        <v>11873.9</v>
      </c>
      <c r="F56" s="10" t="n">
        <v>14.12</v>
      </c>
      <c r="G56" s="11" t="n">
        <v>57.8</v>
      </c>
      <c r="H56" s="4" t="n">
        <v>-1407</v>
      </c>
      <c r="I56" s="8" t="n">
        <v>2</v>
      </c>
      <c r="J56" s="11" t="n">
        <v>53</v>
      </c>
      <c r="K56" s="4" t="n">
        <v>-1310</v>
      </c>
      <c r="L56" s="8" t="n">
        <v>2</v>
      </c>
      <c r="M56" s="11" t="n">
        <v>51.4</v>
      </c>
      <c r="N56" s="4" t="n">
        <v>-1277</v>
      </c>
      <c r="O56" s="8" t="n">
        <v>2</v>
      </c>
      <c r="P56" s="4" t="n">
        <f aca="false">H56+K56+N56</f>
        <v>-3994</v>
      </c>
      <c r="Q56" s="4" t="n">
        <f aca="false">Q55+P56</f>
        <v>49267</v>
      </c>
      <c r="R56" s="4" t="n">
        <f aca="false">Q56-MAX(0,MAX($Q$2:Q56))</f>
        <v>-3994</v>
      </c>
    </row>
    <row r="57" customFormat="false" ht="15" hidden="false" customHeight="false" outlineLevel="0" collapsed="false">
      <c r="A57" s="7" t="n">
        <v>43636</v>
      </c>
      <c r="B57" s="8" t="n">
        <f aca="false">YEAR(A57)</f>
        <v>2019</v>
      </c>
      <c r="C57" s="8" t="n">
        <f aca="false">MONTH(A57)</f>
        <v>6</v>
      </c>
      <c r="D57" s="8" t="s">
        <v>36</v>
      </c>
      <c r="E57" s="9" t="n">
        <v>11653.6</v>
      </c>
      <c r="F57" s="10" t="n">
        <v>14.73</v>
      </c>
      <c r="G57" s="11" t="n">
        <v>50.3</v>
      </c>
      <c r="H57" s="4" t="n">
        <v>-1254</v>
      </c>
      <c r="I57" s="8" t="n">
        <v>2</v>
      </c>
      <c r="J57" s="11" t="n">
        <v>49.9</v>
      </c>
      <c r="K57" s="4" t="n">
        <v>295</v>
      </c>
      <c r="L57" s="8" t="n">
        <v>1</v>
      </c>
      <c r="M57" s="11" t="n">
        <v>47.6</v>
      </c>
      <c r="N57" s="4" t="n">
        <v>268</v>
      </c>
      <c r="O57" s="8" t="n">
        <v>1</v>
      </c>
      <c r="P57" s="4" t="n">
        <f aca="false">H57+K57+N57</f>
        <v>-691</v>
      </c>
      <c r="Q57" s="4" t="n">
        <f aca="false">Q56+P57</f>
        <v>48576</v>
      </c>
      <c r="R57" s="4" t="n">
        <f aca="false">Q57-MAX(0,MAX($Q$2:Q57))</f>
        <v>-4685</v>
      </c>
    </row>
    <row r="58" customFormat="false" ht="15" hidden="false" customHeight="false" outlineLevel="0" collapsed="false">
      <c r="A58" s="7" t="n">
        <v>43643</v>
      </c>
      <c r="B58" s="8" t="n">
        <f aca="false">YEAR(A58)</f>
        <v>2019</v>
      </c>
      <c r="C58" s="8" t="n">
        <f aca="false">MONTH(A58)</f>
        <v>6</v>
      </c>
      <c r="D58" s="8" t="s">
        <v>36</v>
      </c>
      <c r="E58" s="9" t="n">
        <v>11860.8</v>
      </c>
      <c r="F58" s="10" t="n">
        <v>14.75</v>
      </c>
      <c r="G58" s="11" t="n">
        <v>54</v>
      </c>
      <c r="H58" s="4" t="n">
        <v>-1330</v>
      </c>
      <c r="I58" s="8" t="n">
        <v>2</v>
      </c>
      <c r="J58" s="11" t="n">
        <v>53</v>
      </c>
      <c r="K58" s="4" t="n">
        <v>-1309</v>
      </c>
      <c r="L58" s="8" t="n">
        <v>2</v>
      </c>
      <c r="M58" s="11" t="n">
        <v>49</v>
      </c>
      <c r="N58" s="4" t="n">
        <v>336</v>
      </c>
      <c r="O58" s="8" t="n">
        <v>1</v>
      </c>
      <c r="P58" s="4" t="n">
        <f aca="false">H58+K58+N58</f>
        <v>-2303</v>
      </c>
      <c r="Q58" s="4" t="n">
        <f aca="false">Q57+P58</f>
        <v>46273</v>
      </c>
      <c r="R58" s="4" t="n">
        <f aca="false">Q58-MAX(0,MAX($Q$2:Q58))</f>
        <v>-6988</v>
      </c>
    </row>
    <row r="59" customFormat="false" ht="15" hidden="false" customHeight="false" outlineLevel="0" collapsed="false">
      <c r="A59" s="7" t="n">
        <v>43650</v>
      </c>
      <c r="B59" s="8" t="n">
        <f aca="false">YEAR(A59)</f>
        <v>2019</v>
      </c>
      <c r="C59" s="8" t="n">
        <f aca="false">MONTH(A59)</f>
        <v>7</v>
      </c>
      <c r="D59" s="8" t="s">
        <v>36</v>
      </c>
      <c r="E59" s="9" t="n">
        <v>11928.8</v>
      </c>
      <c r="F59" s="10" t="n">
        <v>13.7</v>
      </c>
      <c r="G59" s="11" t="n">
        <v>56.1</v>
      </c>
      <c r="H59" s="4" t="n">
        <v>2657</v>
      </c>
      <c r="I59" s="8" t="n">
        <v>0</v>
      </c>
      <c r="J59" s="11" t="n">
        <v>54.4</v>
      </c>
      <c r="K59" s="4" t="n">
        <v>2553</v>
      </c>
      <c r="L59" s="8" t="n">
        <v>0</v>
      </c>
      <c r="M59" s="11" t="n">
        <v>51.7</v>
      </c>
      <c r="N59" s="4" t="n">
        <v>2374</v>
      </c>
      <c r="O59" s="8" t="n">
        <v>0</v>
      </c>
      <c r="P59" s="4" t="n">
        <f aca="false">H59+K59+N59</f>
        <v>7584</v>
      </c>
      <c r="Q59" s="4" t="n">
        <f aca="false">Q58+P59</f>
        <v>53857</v>
      </c>
      <c r="R59" s="4" t="n">
        <f aca="false">Q59-MAX(0,MAX($Q$2:Q59))</f>
        <v>0</v>
      </c>
    </row>
    <row r="60" customFormat="false" ht="15" hidden="false" customHeight="false" outlineLevel="0" collapsed="false">
      <c r="A60" s="7" t="n">
        <v>43657</v>
      </c>
      <c r="B60" s="8" t="n">
        <f aca="false">YEAR(A60)</f>
        <v>2019</v>
      </c>
      <c r="C60" s="8" t="n">
        <f aca="false">MONTH(A60)</f>
        <v>7</v>
      </c>
      <c r="D60" s="8" t="s">
        <v>36</v>
      </c>
      <c r="E60" s="9" t="n">
        <v>11561.4</v>
      </c>
      <c r="F60" s="10" t="n">
        <v>13.64</v>
      </c>
      <c r="G60" s="11" t="n">
        <v>55.9</v>
      </c>
      <c r="H60" s="4" t="n">
        <v>1950</v>
      </c>
      <c r="I60" s="8" t="n">
        <v>1</v>
      </c>
      <c r="J60" s="11" t="n">
        <v>51.6</v>
      </c>
      <c r="K60" s="4" t="n">
        <v>804</v>
      </c>
      <c r="L60" s="8" t="n">
        <v>1</v>
      </c>
      <c r="M60" s="11" t="n">
        <v>49.3</v>
      </c>
      <c r="N60" s="4" t="n">
        <v>-1234</v>
      </c>
      <c r="O60" s="8" t="n">
        <v>2</v>
      </c>
      <c r="P60" s="4" t="n">
        <f aca="false">H60+K60+N60</f>
        <v>1520</v>
      </c>
      <c r="Q60" s="4" t="n">
        <f aca="false">Q59+P60</f>
        <v>55377</v>
      </c>
      <c r="R60" s="4" t="n">
        <f aca="false">Q60-MAX(0,MAX($Q$2:Q60))</f>
        <v>0</v>
      </c>
    </row>
    <row r="61" customFormat="false" ht="15" hidden="false" customHeight="false" outlineLevel="0" collapsed="false">
      <c r="A61" s="7" t="n">
        <v>43664</v>
      </c>
      <c r="B61" s="8" t="n">
        <f aca="false">YEAR(A61)</f>
        <v>2019</v>
      </c>
      <c r="C61" s="8" t="n">
        <f aca="false">MONTH(A61)</f>
        <v>7</v>
      </c>
      <c r="D61" s="8" t="s">
        <v>36</v>
      </c>
      <c r="E61" s="9" t="n">
        <v>11675.6</v>
      </c>
      <c r="F61" s="10" t="n">
        <v>11.8</v>
      </c>
      <c r="G61" s="11" t="n">
        <v>45.4</v>
      </c>
      <c r="H61" s="4" t="n">
        <v>-1154</v>
      </c>
      <c r="I61" s="8" t="n">
        <v>2</v>
      </c>
      <c r="J61" s="11" t="n">
        <v>47.1</v>
      </c>
      <c r="K61" s="4" t="n">
        <v>1721</v>
      </c>
      <c r="L61" s="8" t="n">
        <v>1</v>
      </c>
      <c r="M61" s="11" t="n">
        <v>45.4</v>
      </c>
      <c r="N61" s="4" t="n">
        <v>1711</v>
      </c>
      <c r="O61" s="8" t="n">
        <v>1</v>
      </c>
      <c r="P61" s="4" t="n">
        <f aca="false">H61+K61+N61</f>
        <v>2278</v>
      </c>
      <c r="Q61" s="4" t="n">
        <f aca="false">Q60+P61</f>
        <v>57655</v>
      </c>
      <c r="R61" s="4" t="n">
        <f aca="false">Q61-MAX(0,MAX($Q$2:Q61))</f>
        <v>0</v>
      </c>
    </row>
    <row r="62" customFormat="false" ht="15" hidden="false" customHeight="false" outlineLevel="0" collapsed="false">
      <c r="A62" s="7" t="n">
        <v>43671</v>
      </c>
      <c r="B62" s="8" t="n">
        <f aca="false">YEAR(A62)</f>
        <v>2019</v>
      </c>
      <c r="C62" s="8" t="n">
        <f aca="false">MONTH(A62)</f>
        <v>7</v>
      </c>
      <c r="D62" s="8" t="s">
        <v>36</v>
      </c>
      <c r="E62" s="9" t="n">
        <v>11290.4</v>
      </c>
      <c r="F62" s="10" t="n">
        <v>12.76</v>
      </c>
      <c r="G62" s="11" t="n">
        <v>61.5</v>
      </c>
      <c r="H62" s="4" t="n">
        <v>1709</v>
      </c>
      <c r="I62" s="8" t="n">
        <v>1</v>
      </c>
      <c r="J62" s="11" t="n">
        <v>58.8</v>
      </c>
      <c r="K62" s="4" t="n">
        <v>1211</v>
      </c>
      <c r="L62" s="8" t="n">
        <v>1</v>
      </c>
      <c r="M62" s="11" t="n">
        <v>55.8</v>
      </c>
      <c r="N62" s="4" t="n">
        <v>-1367</v>
      </c>
      <c r="O62" s="8" t="n">
        <v>2</v>
      </c>
      <c r="P62" s="4" t="n">
        <f aca="false">H62+K62+N62</f>
        <v>1553</v>
      </c>
      <c r="Q62" s="4" t="n">
        <f aca="false">Q61+P62</f>
        <v>59208</v>
      </c>
      <c r="R62" s="4" t="n">
        <f aca="false">Q62-MAX(0,MAX($Q$2:Q62))</f>
        <v>0</v>
      </c>
    </row>
    <row r="63" customFormat="false" ht="15" hidden="false" customHeight="false" outlineLevel="0" collapsed="false">
      <c r="A63" s="7" t="n">
        <v>43678</v>
      </c>
      <c r="B63" s="8" t="n">
        <f aca="false">YEAR(A63)</f>
        <v>2019</v>
      </c>
      <c r="C63" s="8" t="n">
        <f aca="false">MONTH(A63)</f>
        <v>8</v>
      </c>
      <c r="D63" s="8" t="s">
        <v>36</v>
      </c>
      <c r="E63" s="9" t="n">
        <v>11060.2</v>
      </c>
      <c r="F63" s="10" t="n">
        <v>13.59</v>
      </c>
      <c r="G63" s="11" t="n">
        <v>55.1</v>
      </c>
      <c r="H63" s="4" t="n">
        <v>1154</v>
      </c>
      <c r="I63" s="8" t="n">
        <v>1</v>
      </c>
      <c r="J63" s="11" t="n">
        <v>53.5</v>
      </c>
      <c r="K63" s="4" t="n">
        <v>1115</v>
      </c>
      <c r="L63" s="8" t="n">
        <v>1</v>
      </c>
      <c r="M63" s="11" t="n">
        <v>51.8</v>
      </c>
      <c r="N63" s="4" t="n">
        <v>384</v>
      </c>
      <c r="O63" s="8" t="n">
        <v>1</v>
      </c>
      <c r="P63" s="4" t="n">
        <f aca="false">H63+K63+N63</f>
        <v>2653</v>
      </c>
      <c r="Q63" s="4" t="n">
        <f aca="false">Q62+P63</f>
        <v>61861</v>
      </c>
      <c r="R63" s="4" t="n">
        <f aca="false">Q63-MAX(0,MAX($Q$2:Q63))</f>
        <v>0</v>
      </c>
    </row>
    <row r="64" customFormat="false" ht="15" hidden="false" customHeight="false" outlineLevel="0" collapsed="false">
      <c r="A64" s="7" t="n">
        <v>43685</v>
      </c>
      <c r="B64" s="8" t="n">
        <f aca="false">YEAR(A64)</f>
        <v>2019</v>
      </c>
      <c r="C64" s="8" t="n">
        <f aca="false">MONTH(A64)</f>
        <v>8</v>
      </c>
      <c r="D64" s="8" t="s">
        <v>36</v>
      </c>
      <c r="E64" s="9" t="n">
        <v>10899.2</v>
      </c>
      <c r="F64" s="10" t="n">
        <v>16.74</v>
      </c>
      <c r="G64" s="11" t="n">
        <v>91</v>
      </c>
      <c r="H64" s="4" t="n">
        <v>1729</v>
      </c>
      <c r="I64" s="8" t="n">
        <v>1</v>
      </c>
      <c r="J64" s="11" t="n">
        <v>90.6</v>
      </c>
      <c r="K64" s="4" t="n">
        <v>742</v>
      </c>
      <c r="L64" s="8" t="n">
        <v>1</v>
      </c>
      <c r="M64" s="11" t="n">
        <v>84.6</v>
      </c>
      <c r="N64" s="4" t="n">
        <v>-1956</v>
      </c>
      <c r="O64" s="8" t="n">
        <v>2</v>
      </c>
      <c r="P64" s="4" t="n">
        <f aca="false">H64+K64+N64</f>
        <v>515</v>
      </c>
      <c r="Q64" s="4" t="n">
        <f aca="false">Q63+P64</f>
        <v>62376</v>
      </c>
      <c r="R64" s="4" t="n">
        <f aca="false">Q64-MAX(0,MAX($Q$2:Q64))</f>
        <v>0</v>
      </c>
    </row>
    <row r="65" customFormat="false" ht="15" hidden="false" customHeight="false" outlineLevel="0" collapsed="false">
      <c r="A65" s="7" t="n">
        <v>43691</v>
      </c>
      <c r="B65" s="8" t="n">
        <f aca="false">YEAR(A65)</f>
        <v>2019</v>
      </c>
      <c r="C65" s="8" t="n">
        <f aca="false">MONTH(A65)</f>
        <v>8</v>
      </c>
      <c r="D65" s="8" t="s">
        <v>37</v>
      </c>
      <c r="E65" s="9" t="n">
        <v>11003.2</v>
      </c>
      <c r="F65" s="10" t="n">
        <v>17.78</v>
      </c>
      <c r="G65" s="11" t="n">
        <v>81.7</v>
      </c>
      <c r="H65" s="4" t="n">
        <v>1187</v>
      </c>
      <c r="I65" s="8" t="n">
        <v>1</v>
      </c>
      <c r="J65" s="11" t="n">
        <v>78.9</v>
      </c>
      <c r="K65" s="4" t="n">
        <v>1459</v>
      </c>
      <c r="L65" s="8" t="n">
        <v>1</v>
      </c>
      <c r="M65" s="11" t="n">
        <v>75.9</v>
      </c>
      <c r="N65" s="4" t="n">
        <v>1088</v>
      </c>
      <c r="O65" s="8" t="n">
        <v>1</v>
      </c>
      <c r="P65" s="4" t="n">
        <f aca="false">H65+K65+N65</f>
        <v>3734</v>
      </c>
      <c r="Q65" s="4" t="n">
        <f aca="false">Q64+P65</f>
        <v>66110</v>
      </c>
      <c r="R65" s="4" t="n">
        <f aca="false">Q65-MAX(0,MAX($Q$2:Q65))</f>
        <v>0</v>
      </c>
    </row>
    <row r="66" customFormat="false" ht="15" hidden="false" customHeight="false" outlineLevel="0" collapsed="false">
      <c r="A66" s="7" t="n">
        <v>43699</v>
      </c>
      <c r="B66" s="8" t="n">
        <f aca="false">YEAR(A66)</f>
        <v>2019</v>
      </c>
      <c r="C66" s="8" t="n">
        <f aca="false">MONTH(A66)</f>
        <v>8</v>
      </c>
      <c r="D66" s="8" t="s">
        <v>36</v>
      </c>
      <c r="E66" s="9" t="n">
        <v>10905.3</v>
      </c>
      <c r="F66" s="10" t="n">
        <v>17.02</v>
      </c>
      <c r="G66" s="11" t="n">
        <v>83.1</v>
      </c>
      <c r="H66" s="4" t="n">
        <v>895</v>
      </c>
      <c r="I66" s="8" t="n">
        <v>1</v>
      </c>
      <c r="J66" s="11" t="n">
        <v>80.4</v>
      </c>
      <c r="K66" s="4" t="n">
        <v>2239</v>
      </c>
      <c r="L66" s="8" t="n">
        <v>1</v>
      </c>
      <c r="M66" s="11" t="n">
        <v>75.7</v>
      </c>
      <c r="N66" s="4" t="n">
        <v>1176</v>
      </c>
      <c r="O66" s="8" t="n">
        <v>1</v>
      </c>
      <c r="P66" s="4" t="n">
        <f aca="false">H66+K66+N66</f>
        <v>4310</v>
      </c>
      <c r="Q66" s="4" t="n">
        <f aca="false">Q65+P66</f>
        <v>70420</v>
      </c>
      <c r="R66" s="4" t="n">
        <f aca="false">Q66-MAX(0,MAX($Q$2:Q66))</f>
        <v>0</v>
      </c>
    </row>
    <row r="67" customFormat="false" ht="15" hidden="false" customHeight="false" outlineLevel="0" collapsed="false">
      <c r="A67" s="7" t="n">
        <v>43706</v>
      </c>
      <c r="B67" s="8" t="n">
        <f aca="false">YEAR(A67)</f>
        <v>2019</v>
      </c>
      <c r="C67" s="8" t="n">
        <f aca="false">MONTH(A67)</f>
        <v>8</v>
      </c>
      <c r="D67" s="8" t="s">
        <v>36</v>
      </c>
      <c r="E67" s="9" t="n">
        <v>10996</v>
      </c>
      <c r="F67" s="10" t="n">
        <v>16.84</v>
      </c>
      <c r="G67" s="11" t="n">
        <v>71.4</v>
      </c>
      <c r="H67" s="4" t="n">
        <v>-1686</v>
      </c>
      <c r="I67" s="8" t="n">
        <v>2</v>
      </c>
      <c r="J67" s="11" t="n">
        <v>69.3</v>
      </c>
      <c r="K67" s="4" t="n">
        <v>1520</v>
      </c>
      <c r="L67" s="8" t="n">
        <v>1</v>
      </c>
      <c r="M67" s="11" t="n">
        <v>68</v>
      </c>
      <c r="N67" s="4" t="n">
        <v>381</v>
      </c>
      <c r="O67" s="8" t="n">
        <v>1</v>
      </c>
      <c r="P67" s="4" t="n">
        <f aca="false">H67+K67+N67</f>
        <v>215</v>
      </c>
      <c r="Q67" s="4" t="n">
        <f aca="false">Q66+P67</f>
        <v>70635</v>
      </c>
      <c r="R67" s="4" t="n">
        <f aca="false">Q67-MAX(0,MAX($Q$2:Q67))</f>
        <v>0</v>
      </c>
    </row>
    <row r="68" customFormat="false" ht="15" hidden="false" customHeight="false" outlineLevel="0" collapsed="false">
      <c r="A68" s="7" t="n">
        <v>43713</v>
      </c>
      <c r="B68" s="8" t="n">
        <f aca="false">YEAR(A68)</f>
        <v>2019</v>
      </c>
      <c r="C68" s="8" t="n">
        <f aca="false">MONTH(A68)</f>
        <v>9</v>
      </c>
      <c r="D68" s="8" t="s">
        <v>36</v>
      </c>
      <c r="E68" s="9" t="n">
        <v>10861</v>
      </c>
      <c r="F68" s="10" t="n">
        <v>17.24</v>
      </c>
      <c r="G68" s="11" t="n">
        <v>87.4</v>
      </c>
      <c r="H68" s="4" t="n">
        <v>-2014</v>
      </c>
      <c r="I68" s="8" t="n">
        <v>2</v>
      </c>
      <c r="J68" s="11" t="n">
        <v>83.3</v>
      </c>
      <c r="K68" s="4" t="n">
        <v>1782</v>
      </c>
      <c r="L68" s="8" t="n">
        <v>1</v>
      </c>
      <c r="M68" s="11" t="n">
        <v>80.3</v>
      </c>
      <c r="N68" s="4" t="n">
        <v>2189</v>
      </c>
      <c r="O68" s="8" t="n">
        <v>1</v>
      </c>
      <c r="P68" s="4" t="n">
        <f aca="false">H68+K68+N68</f>
        <v>1957</v>
      </c>
      <c r="Q68" s="4" t="n">
        <f aca="false">Q67+P68</f>
        <v>72592</v>
      </c>
      <c r="R68" s="4" t="n">
        <f aca="false">Q68-MAX(0,MAX($Q$2:Q68))</f>
        <v>0</v>
      </c>
    </row>
    <row r="69" customFormat="false" ht="15" hidden="false" customHeight="false" outlineLevel="0" collapsed="false">
      <c r="A69" s="7" t="n">
        <v>43720</v>
      </c>
      <c r="B69" s="8" t="n">
        <f aca="false">YEAR(A69)</f>
        <v>2019</v>
      </c>
      <c r="C69" s="8" t="n">
        <f aca="false">MONTH(A69)</f>
        <v>9</v>
      </c>
      <c r="D69" s="8" t="s">
        <v>36</v>
      </c>
      <c r="E69" s="9" t="n">
        <v>11058.3</v>
      </c>
      <c r="F69" s="10" t="n">
        <v>15.37</v>
      </c>
      <c r="G69" s="11" t="n">
        <v>76.1</v>
      </c>
      <c r="H69" s="4" t="n">
        <v>2638</v>
      </c>
      <c r="I69" s="8" t="n">
        <v>1</v>
      </c>
      <c r="J69" s="11" t="n">
        <v>73.2</v>
      </c>
      <c r="K69" s="4" t="n">
        <v>2414</v>
      </c>
      <c r="L69" s="8" t="n">
        <v>1</v>
      </c>
      <c r="M69" s="11" t="n">
        <v>68</v>
      </c>
      <c r="N69" s="4" t="n">
        <v>1806</v>
      </c>
      <c r="O69" s="8" t="n">
        <v>1</v>
      </c>
      <c r="P69" s="4" t="n">
        <f aca="false">H69+K69+N69</f>
        <v>6858</v>
      </c>
      <c r="Q69" s="4" t="n">
        <f aca="false">Q68+P69</f>
        <v>79450</v>
      </c>
      <c r="R69" s="4" t="n">
        <f aca="false">Q69-MAX(0,MAX($Q$2:Q69))</f>
        <v>0</v>
      </c>
    </row>
    <row r="70" customFormat="false" ht="15" hidden="false" customHeight="false" outlineLevel="0" collapsed="false">
      <c r="A70" s="7" t="n">
        <v>43727</v>
      </c>
      <c r="B70" s="8" t="n">
        <f aca="false">YEAR(A70)</f>
        <v>2019</v>
      </c>
      <c r="C70" s="8" t="n">
        <f aca="false">MONTH(A70)</f>
        <v>9</v>
      </c>
      <c r="D70" s="8" t="s">
        <v>36</v>
      </c>
      <c r="E70" s="9" t="n">
        <v>10845.2</v>
      </c>
      <c r="F70" s="10" t="n">
        <v>15.35</v>
      </c>
      <c r="G70" s="11" t="n">
        <v>69</v>
      </c>
      <c r="H70" s="4" t="n">
        <v>920</v>
      </c>
      <c r="I70" s="8" t="n">
        <v>1</v>
      </c>
      <c r="J70" s="11" t="n">
        <v>68.8</v>
      </c>
      <c r="K70" s="4" t="n">
        <v>379</v>
      </c>
      <c r="L70" s="8" t="n">
        <v>1</v>
      </c>
      <c r="M70" s="11" t="n">
        <v>63.8</v>
      </c>
      <c r="N70" s="4" t="n">
        <v>1623</v>
      </c>
      <c r="O70" s="8" t="n">
        <v>1</v>
      </c>
      <c r="P70" s="4" t="n">
        <f aca="false">H70+K70+N70</f>
        <v>2922</v>
      </c>
      <c r="Q70" s="4" t="n">
        <f aca="false">Q69+P70</f>
        <v>82372</v>
      </c>
      <c r="R70" s="4" t="n">
        <f aca="false">Q70-MAX(0,MAX($Q$2:Q70))</f>
        <v>0</v>
      </c>
    </row>
    <row r="71" customFormat="false" ht="15" hidden="false" customHeight="false" outlineLevel="0" collapsed="false">
      <c r="A71" s="7" t="n">
        <v>43734</v>
      </c>
      <c r="B71" s="8" t="n">
        <f aca="false">YEAR(A71)</f>
        <v>2019</v>
      </c>
      <c r="C71" s="8" t="n">
        <f aca="false">MONTH(A71)</f>
        <v>9</v>
      </c>
      <c r="D71" s="8" t="s">
        <v>36</v>
      </c>
      <c r="E71" s="9" t="n">
        <v>11469.8</v>
      </c>
      <c r="F71" s="10" t="n">
        <v>16.17</v>
      </c>
      <c r="G71" s="11" t="n">
        <v>77.4</v>
      </c>
      <c r="H71" s="4" t="n">
        <v>-1810</v>
      </c>
      <c r="I71" s="8" t="n">
        <v>2</v>
      </c>
      <c r="J71" s="11" t="n">
        <v>75.2</v>
      </c>
      <c r="K71" s="4" t="n">
        <v>-1764</v>
      </c>
      <c r="L71" s="8" t="n">
        <v>2</v>
      </c>
      <c r="M71" s="11" t="n">
        <v>72.2</v>
      </c>
      <c r="N71" s="4" t="n">
        <v>731</v>
      </c>
      <c r="O71" s="8" t="n">
        <v>1</v>
      </c>
      <c r="P71" s="4" t="n">
        <f aca="false">H71+K71+N71</f>
        <v>-2843</v>
      </c>
      <c r="Q71" s="4" t="n">
        <f aca="false">Q70+P71</f>
        <v>79529</v>
      </c>
      <c r="R71" s="4" t="n">
        <f aca="false">Q71-MAX(0,MAX($Q$2:Q71))</f>
        <v>-2843</v>
      </c>
    </row>
    <row r="72" customFormat="false" ht="15" hidden="false" customHeight="false" outlineLevel="0" collapsed="false">
      <c r="A72" s="7" t="n">
        <v>43741</v>
      </c>
      <c r="B72" s="8" t="n">
        <f aca="false">YEAR(A72)</f>
        <v>2019</v>
      </c>
      <c r="C72" s="8" t="n">
        <f aca="false">MONTH(A72)</f>
        <v>10</v>
      </c>
      <c r="D72" s="8" t="s">
        <v>36</v>
      </c>
      <c r="E72" s="9" t="n">
        <v>11322.2</v>
      </c>
      <c r="F72" s="10" t="n">
        <v>16.76</v>
      </c>
      <c r="G72" s="11" t="n">
        <v>80.5</v>
      </c>
      <c r="H72" s="4" t="n">
        <v>-1873</v>
      </c>
      <c r="I72" s="8" t="n">
        <v>2</v>
      </c>
      <c r="J72" s="11" t="n">
        <v>77.3</v>
      </c>
      <c r="K72" s="4" t="n">
        <v>820</v>
      </c>
      <c r="L72" s="8" t="n">
        <v>1</v>
      </c>
      <c r="M72" s="11" t="n">
        <v>73.4</v>
      </c>
      <c r="N72" s="4" t="n">
        <v>900</v>
      </c>
      <c r="O72" s="8" t="n">
        <v>1</v>
      </c>
      <c r="P72" s="4" t="n">
        <f aca="false">H72+K72+N72</f>
        <v>-153</v>
      </c>
      <c r="Q72" s="4" t="n">
        <f aca="false">Q71+P72</f>
        <v>79376</v>
      </c>
      <c r="R72" s="4" t="n">
        <f aca="false">Q72-MAX(0,MAX($Q$2:Q72))</f>
        <v>-2996</v>
      </c>
    </row>
    <row r="73" customFormat="false" ht="15" hidden="false" customHeight="false" outlineLevel="0" collapsed="false">
      <c r="A73" s="7" t="n">
        <v>43748</v>
      </c>
      <c r="B73" s="8" t="n">
        <f aca="false">YEAR(A73)</f>
        <v>2019</v>
      </c>
      <c r="C73" s="8" t="n">
        <f aca="false">MONTH(A73)</f>
        <v>10</v>
      </c>
      <c r="D73" s="8" t="s">
        <v>36</v>
      </c>
      <c r="E73" s="9" t="n">
        <v>11280.5</v>
      </c>
      <c r="F73" s="10" t="n">
        <v>17.16</v>
      </c>
      <c r="G73" s="11" t="n">
        <v>77.7</v>
      </c>
      <c r="H73" s="4" t="n">
        <v>2263</v>
      </c>
      <c r="I73" s="8" t="n">
        <v>1</v>
      </c>
      <c r="J73" s="11" t="n">
        <v>75.5</v>
      </c>
      <c r="K73" s="4" t="n">
        <v>2212</v>
      </c>
      <c r="L73" s="8" t="n">
        <v>1</v>
      </c>
      <c r="M73" s="11" t="n">
        <v>71.7</v>
      </c>
      <c r="N73" s="4" t="n">
        <v>-1693</v>
      </c>
      <c r="O73" s="8" t="n">
        <v>2</v>
      </c>
      <c r="P73" s="4" t="n">
        <f aca="false">H73+K73+N73</f>
        <v>2782</v>
      </c>
      <c r="Q73" s="4" t="n">
        <f aca="false">Q72+P73</f>
        <v>82158</v>
      </c>
      <c r="R73" s="4" t="n">
        <f aca="false">Q73-MAX(0,MAX($Q$2:Q73))</f>
        <v>-214</v>
      </c>
    </row>
    <row r="74" customFormat="false" ht="15" hidden="false" customHeight="false" outlineLevel="0" collapsed="false">
      <c r="A74" s="7" t="n">
        <v>43755</v>
      </c>
      <c r="B74" s="8" t="n">
        <f aca="false">YEAR(A74)</f>
        <v>2019</v>
      </c>
      <c r="C74" s="8" t="n">
        <f aca="false">MONTH(A74)</f>
        <v>10</v>
      </c>
      <c r="D74" s="8" t="s">
        <v>36</v>
      </c>
      <c r="E74" s="9" t="n">
        <v>11466.3</v>
      </c>
      <c r="F74" s="10" t="n">
        <v>16.36</v>
      </c>
      <c r="G74" s="11" t="n">
        <v>76.5</v>
      </c>
      <c r="H74" s="4" t="n">
        <v>647</v>
      </c>
      <c r="I74" s="8" t="n">
        <v>1</v>
      </c>
      <c r="J74" s="11" t="n">
        <v>75.9</v>
      </c>
      <c r="K74" s="4" t="n">
        <v>-1778</v>
      </c>
      <c r="L74" s="8" t="n">
        <v>2</v>
      </c>
      <c r="M74" s="11" t="n">
        <v>72.1</v>
      </c>
      <c r="N74" s="4" t="n">
        <v>-1701</v>
      </c>
      <c r="O74" s="8" t="n">
        <v>2</v>
      </c>
      <c r="P74" s="4" t="n">
        <f aca="false">H74+K74+N74</f>
        <v>-2832</v>
      </c>
      <c r="Q74" s="4" t="n">
        <f aca="false">Q73+P74</f>
        <v>79326</v>
      </c>
      <c r="R74" s="4" t="n">
        <f aca="false">Q74-MAX(0,MAX($Q$2:Q74))</f>
        <v>-3046</v>
      </c>
    </row>
    <row r="75" customFormat="false" ht="15" hidden="false" customHeight="false" outlineLevel="0" collapsed="false">
      <c r="A75" s="7" t="n">
        <v>43762</v>
      </c>
      <c r="B75" s="8" t="n">
        <f aca="false">YEAR(A75)</f>
        <v>2019</v>
      </c>
      <c r="C75" s="8" t="n">
        <f aca="false">MONTH(A75)</f>
        <v>10</v>
      </c>
      <c r="D75" s="8" t="s">
        <v>36</v>
      </c>
      <c r="E75" s="9" t="n">
        <v>11661.6</v>
      </c>
      <c r="F75" s="10" t="n">
        <v>16.54</v>
      </c>
      <c r="G75" s="11" t="n">
        <v>57.9</v>
      </c>
      <c r="H75" s="4" t="n">
        <v>694</v>
      </c>
      <c r="I75" s="8" t="n">
        <v>1</v>
      </c>
      <c r="J75" s="11" t="n">
        <v>56.1</v>
      </c>
      <c r="K75" s="4" t="n">
        <v>-1373</v>
      </c>
      <c r="L75" s="8" t="n">
        <v>2</v>
      </c>
      <c r="M75" s="11" t="n">
        <v>53.3</v>
      </c>
      <c r="N75" s="4" t="n">
        <v>1205</v>
      </c>
      <c r="O75" s="8" t="n">
        <v>1</v>
      </c>
      <c r="P75" s="4" t="n">
        <f aca="false">H75+K75+N75</f>
        <v>526</v>
      </c>
      <c r="Q75" s="4" t="n">
        <f aca="false">Q74+P75</f>
        <v>79852</v>
      </c>
      <c r="R75" s="4" t="n">
        <f aca="false">Q75-MAX(0,MAX($Q$2:Q75))</f>
        <v>-2520</v>
      </c>
    </row>
    <row r="76" customFormat="false" ht="15" hidden="false" customHeight="false" outlineLevel="0" collapsed="false">
      <c r="A76" s="7" t="n">
        <v>43769</v>
      </c>
      <c r="B76" s="8" t="n">
        <f aca="false">YEAR(A76)</f>
        <v>2019</v>
      </c>
      <c r="C76" s="8" t="n">
        <f aca="false">MONTH(A76)</f>
        <v>10</v>
      </c>
      <c r="D76" s="8" t="s">
        <v>36</v>
      </c>
      <c r="E76" s="9" t="n">
        <v>11890.4</v>
      </c>
      <c r="F76" s="10" t="n">
        <v>16.66</v>
      </c>
      <c r="G76" s="11" t="n">
        <v>72.6</v>
      </c>
      <c r="H76" s="4" t="n">
        <v>1688</v>
      </c>
      <c r="I76" s="8" t="n">
        <v>1</v>
      </c>
      <c r="J76" s="11" t="n">
        <v>70.1</v>
      </c>
      <c r="K76" s="4" t="n">
        <v>1449</v>
      </c>
      <c r="L76" s="8" t="n">
        <v>1</v>
      </c>
      <c r="M76" s="11" t="n">
        <v>66.7</v>
      </c>
      <c r="N76" s="4" t="n">
        <v>-1589</v>
      </c>
      <c r="O76" s="8" t="n">
        <v>2</v>
      </c>
      <c r="P76" s="4" t="n">
        <f aca="false">H76+K76+N76</f>
        <v>1548</v>
      </c>
      <c r="Q76" s="4" t="n">
        <f aca="false">Q75+P76</f>
        <v>81400</v>
      </c>
      <c r="R76" s="4" t="n">
        <f aca="false">Q76-MAX(0,MAX($Q$2:Q76))</f>
        <v>-972</v>
      </c>
    </row>
    <row r="77" customFormat="false" ht="15" hidden="false" customHeight="false" outlineLevel="0" collapsed="false">
      <c r="A77" s="7" t="n">
        <v>43776</v>
      </c>
      <c r="B77" s="8" t="n">
        <f aca="false">YEAR(A77)</f>
        <v>2019</v>
      </c>
      <c r="C77" s="8" t="n">
        <f aca="false">MONTH(A77)</f>
        <v>11</v>
      </c>
      <c r="D77" s="8" t="s">
        <v>36</v>
      </c>
      <c r="E77" s="9" t="n">
        <v>12021.1</v>
      </c>
      <c r="F77" s="10" t="n">
        <v>15.78</v>
      </c>
      <c r="G77" s="11" t="n">
        <v>70.6</v>
      </c>
      <c r="H77" s="4" t="n">
        <v>989</v>
      </c>
      <c r="I77" s="8" t="n">
        <v>1</v>
      </c>
      <c r="J77" s="11" t="n">
        <v>67.4</v>
      </c>
      <c r="K77" s="4" t="n">
        <v>297</v>
      </c>
      <c r="L77" s="8" t="n">
        <v>1</v>
      </c>
      <c r="M77" s="11" t="n">
        <v>65.2</v>
      </c>
      <c r="N77" s="4" t="n">
        <v>-399</v>
      </c>
      <c r="O77" s="8" t="n">
        <v>1</v>
      </c>
      <c r="P77" s="4" t="n">
        <f aca="false">H77+K77+N77</f>
        <v>887</v>
      </c>
      <c r="Q77" s="4" t="n">
        <f aca="false">Q76+P77</f>
        <v>82287</v>
      </c>
      <c r="R77" s="4" t="n">
        <f aca="false">Q77-MAX(0,MAX($Q$2:Q77))</f>
        <v>-85</v>
      </c>
    </row>
    <row r="78" customFormat="false" ht="15" hidden="false" customHeight="false" outlineLevel="0" collapsed="false">
      <c r="A78" s="7" t="n">
        <v>43783</v>
      </c>
      <c r="B78" s="8" t="n">
        <f aca="false">YEAR(A78)</f>
        <v>2019</v>
      </c>
      <c r="C78" s="8" t="n">
        <f aca="false">MONTH(A78)</f>
        <v>11</v>
      </c>
      <c r="D78" s="8" t="s">
        <v>36</v>
      </c>
      <c r="E78" s="9" t="n">
        <v>11858.8</v>
      </c>
      <c r="F78" s="10" t="n">
        <v>16.46</v>
      </c>
      <c r="G78" s="11" t="n">
        <v>68.4</v>
      </c>
      <c r="H78" s="4" t="n">
        <v>1003</v>
      </c>
      <c r="I78" s="8" t="n">
        <v>1</v>
      </c>
      <c r="J78" s="11" t="n">
        <v>68.5</v>
      </c>
      <c r="K78" s="4" t="n">
        <v>357</v>
      </c>
      <c r="L78" s="8" t="n">
        <v>1</v>
      </c>
      <c r="M78" s="11" t="n">
        <v>66.4</v>
      </c>
      <c r="N78" s="4" t="n">
        <v>157</v>
      </c>
      <c r="O78" s="8" t="n">
        <v>1</v>
      </c>
      <c r="P78" s="4" t="n">
        <f aca="false">H78+K78+N78</f>
        <v>1517</v>
      </c>
      <c r="Q78" s="4" t="n">
        <f aca="false">Q77+P78</f>
        <v>83804</v>
      </c>
      <c r="R78" s="4" t="n">
        <f aca="false">Q78-MAX(0,MAX($Q$2:Q78))</f>
        <v>0</v>
      </c>
    </row>
    <row r="79" customFormat="false" ht="15" hidden="false" customHeight="false" outlineLevel="0" collapsed="false">
      <c r="A79" s="7" t="n">
        <v>43790</v>
      </c>
      <c r="B79" s="8" t="n">
        <f aca="false">YEAR(A79)</f>
        <v>2019</v>
      </c>
      <c r="C79" s="8" t="n">
        <f aca="false">MONTH(A79)</f>
        <v>11</v>
      </c>
      <c r="D79" s="8" t="s">
        <v>36</v>
      </c>
      <c r="E79" s="9" t="n">
        <v>12025.6</v>
      </c>
      <c r="F79" s="10" t="n">
        <v>15.16</v>
      </c>
      <c r="G79" s="11" t="n">
        <v>62.8</v>
      </c>
      <c r="H79" s="4" t="n">
        <v>1122</v>
      </c>
      <c r="I79" s="8" t="n">
        <v>1</v>
      </c>
      <c r="J79" s="11" t="n">
        <v>61.1</v>
      </c>
      <c r="K79" s="4" t="n">
        <v>907</v>
      </c>
      <c r="L79" s="8" t="n">
        <v>1</v>
      </c>
      <c r="M79" s="11" t="n">
        <v>60</v>
      </c>
      <c r="N79" s="4" t="n">
        <v>6</v>
      </c>
      <c r="O79" s="8" t="n">
        <v>1</v>
      </c>
      <c r="P79" s="4" t="n">
        <f aca="false">H79+K79+N79</f>
        <v>2035</v>
      </c>
      <c r="Q79" s="4" t="n">
        <f aca="false">Q78+P79</f>
        <v>85839</v>
      </c>
      <c r="R79" s="4" t="n">
        <f aca="false">Q79-MAX(0,MAX($Q$2:Q79))</f>
        <v>0</v>
      </c>
    </row>
    <row r="80" customFormat="false" ht="15" hidden="false" customHeight="false" outlineLevel="0" collapsed="false">
      <c r="A80" s="7" t="n">
        <v>43797</v>
      </c>
      <c r="B80" s="8" t="n">
        <f aca="false">YEAR(A80)</f>
        <v>2019</v>
      </c>
      <c r="C80" s="8" t="n">
        <f aca="false">MONTH(A80)</f>
        <v>11</v>
      </c>
      <c r="D80" s="8" t="s">
        <v>36</v>
      </c>
      <c r="E80" s="9" t="n">
        <v>12132.1</v>
      </c>
      <c r="F80" s="10" t="n">
        <v>14.62</v>
      </c>
      <c r="G80" s="11" t="n">
        <v>59.9</v>
      </c>
      <c r="H80" s="4" t="n">
        <v>424</v>
      </c>
      <c r="I80" s="8" t="n">
        <v>1</v>
      </c>
      <c r="J80" s="11" t="n">
        <v>60.6</v>
      </c>
      <c r="K80" s="4" t="n">
        <v>4</v>
      </c>
      <c r="L80" s="8" t="n">
        <v>1</v>
      </c>
      <c r="M80" s="11" t="n">
        <v>57.3</v>
      </c>
      <c r="N80" s="4" t="n">
        <v>52</v>
      </c>
      <c r="O80" s="8" t="n">
        <v>1</v>
      </c>
      <c r="P80" s="4" t="n">
        <f aca="false">H80+K80+N80</f>
        <v>480</v>
      </c>
      <c r="Q80" s="4" t="n">
        <f aca="false">Q79+P80</f>
        <v>86319</v>
      </c>
      <c r="R80" s="4" t="n">
        <f aca="false">Q80-MAX(0,MAX($Q$2:Q80))</f>
        <v>0</v>
      </c>
    </row>
    <row r="81" customFormat="false" ht="15" hidden="false" customHeight="false" outlineLevel="0" collapsed="false">
      <c r="A81" s="7" t="n">
        <v>43804</v>
      </c>
      <c r="B81" s="8" t="n">
        <f aca="false">YEAR(A81)</f>
        <v>2019</v>
      </c>
      <c r="C81" s="8" t="n">
        <f aca="false">MONTH(A81)</f>
        <v>12</v>
      </c>
      <c r="D81" s="8" t="s">
        <v>36</v>
      </c>
      <c r="E81" s="9" t="n">
        <v>12071.2</v>
      </c>
      <c r="F81" s="10" t="n">
        <v>13.32</v>
      </c>
      <c r="G81" s="11" t="n">
        <v>57.3</v>
      </c>
      <c r="H81" s="4" t="n">
        <v>1671</v>
      </c>
      <c r="I81" s="8" t="n">
        <v>1</v>
      </c>
      <c r="J81" s="11" t="n">
        <v>56.4</v>
      </c>
      <c r="K81" s="4" t="n">
        <v>1812</v>
      </c>
      <c r="L81" s="8" t="n">
        <v>1</v>
      </c>
      <c r="M81" s="11" t="n">
        <v>52.4</v>
      </c>
      <c r="N81" s="4" t="n">
        <v>-1296</v>
      </c>
      <c r="O81" s="8" t="n">
        <v>2</v>
      </c>
      <c r="P81" s="4" t="n">
        <f aca="false">H81+K81+N81</f>
        <v>2187</v>
      </c>
      <c r="Q81" s="4" t="n">
        <f aca="false">Q80+P81</f>
        <v>88506</v>
      </c>
      <c r="R81" s="4" t="n">
        <f aca="false">Q81-MAX(0,MAX($Q$2:Q81))</f>
        <v>0</v>
      </c>
    </row>
    <row r="82" customFormat="false" ht="15" hidden="false" customHeight="false" outlineLevel="0" collapsed="false">
      <c r="A82" s="7" t="n">
        <v>43811</v>
      </c>
      <c r="B82" s="8" t="n">
        <f aca="false">YEAR(A82)</f>
        <v>2019</v>
      </c>
      <c r="C82" s="8" t="n">
        <f aca="false">MONTH(A82)</f>
        <v>12</v>
      </c>
      <c r="D82" s="8" t="s">
        <v>36</v>
      </c>
      <c r="E82" s="9" t="n">
        <v>11944.3</v>
      </c>
      <c r="F82" s="10" t="n">
        <v>13.38</v>
      </c>
      <c r="G82" s="11" t="n">
        <v>50.9</v>
      </c>
      <c r="H82" s="4" t="n">
        <v>-1266</v>
      </c>
      <c r="I82" s="8" t="n">
        <v>2</v>
      </c>
      <c r="J82" s="11" t="n">
        <v>46.8</v>
      </c>
      <c r="K82" s="4" t="n">
        <v>-1183</v>
      </c>
      <c r="L82" s="8" t="n">
        <v>2</v>
      </c>
      <c r="M82" s="11" t="n">
        <v>44.4</v>
      </c>
      <c r="N82" s="4" t="n">
        <v>-1132</v>
      </c>
      <c r="O82" s="8" t="n">
        <v>2</v>
      </c>
      <c r="P82" s="4" t="n">
        <f aca="false">H82+K82+N82</f>
        <v>-3581</v>
      </c>
      <c r="Q82" s="4" t="n">
        <f aca="false">Q81+P82</f>
        <v>84925</v>
      </c>
      <c r="R82" s="4" t="n">
        <f aca="false">Q82-MAX(0,MAX($Q$2:Q82))</f>
        <v>-3581</v>
      </c>
    </row>
    <row r="83" customFormat="false" ht="15" hidden="false" customHeight="false" outlineLevel="0" collapsed="false">
      <c r="A83" s="7" t="n">
        <v>43818</v>
      </c>
      <c r="B83" s="8" t="n">
        <f aca="false">YEAR(A83)</f>
        <v>2019</v>
      </c>
      <c r="C83" s="8" t="n">
        <f aca="false">MONTH(A83)</f>
        <v>12</v>
      </c>
      <c r="D83" s="8" t="s">
        <v>36</v>
      </c>
      <c r="E83" s="9" t="n">
        <v>12223.4</v>
      </c>
      <c r="F83" s="10" t="n">
        <v>12.34</v>
      </c>
      <c r="G83" s="11" t="n">
        <v>57.6</v>
      </c>
      <c r="H83" s="4" t="n">
        <v>977</v>
      </c>
      <c r="I83" s="8" t="n">
        <v>1</v>
      </c>
      <c r="J83" s="11" t="n">
        <v>56.3</v>
      </c>
      <c r="K83" s="4" t="n">
        <v>661</v>
      </c>
      <c r="L83" s="8" t="n">
        <v>1</v>
      </c>
      <c r="M83" s="11" t="n">
        <v>53.4</v>
      </c>
      <c r="N83" s="4" t="n">
        <v>794</v>
      </c>
      <c r="O83" s="8" t="n">
        <v>1</v>
      </c>
      <c r="P83" s="4" t="n">
        <f aca="false">H83+K83+N83</f>
        <v>2432</v>
      </c>
      <c r="Q83" s="4" t="n">
        <f aca="false">Q82+P83</f>
        <v>87357</v>
      </c>
      <c r="R83" s="4" t="n">
        <f aca="false">Q83-MAX(0,MAX($Q$2:Q83))</f>
        <v>-1149</v>
      </c>
    </row>
    <row r="84" customFormat="false" ht="15" hidden="false" customHeight="false" outlineLevel="0" collapsed="false">
      <c r="A84" s="7" t="n">
        <v>43825</v>
      </c>
      <c r="B84" s="8" t="n">
        <f aca="false">YEAR(A84)</f>
        <v>2019</v>
      </c>
      <c r="C84" s="8" t="n">
        <f aca="false">MONTH(A84)</f>
        <v>12</v>
      </c>
      <c r="D84" s="8" t="s">
        <v>36</v>
      </c>
      <c r="E84" s="9" t="n">
        <v>12211.8</v>
      </c>
      <c r="F84" s="10" t="n">
        <v>11.63</v>
      </c>
      <c r="G84" s="11" t="n">
        <v>51.3</v>
      </c>
      <c r="H84" s="4" t="n">
        <v>1468</v>
      </c>
      <c r="I84" s="8" t="n">
        <v>1</v>
      </c>
      <c r="J84" s="11" t="n">
        <v>49.7</v>
      </c>
      <c r="K84" s="4" t="n">
        <v>1391</v>
      </c>
      <c r="L84" s="8" t="n">
        <v>1</v>
      </c>
      <c r="M84" s="11" t="n">
        <v>46.8</v>
      </c>
      <c r="N84" s="4" t="n">
        <v>1126</v>
      </c>
      <c r="O84" s="8" t="n">
        <v>1</v>
      </c>
      <c r="P84" s="4" t="n">
        <f aca="false">H84+K84+N84</f>
        <v>3985</v>
      </c>
      <c r="Q84" s="4" t="n">
        <f aca="false">Q83+P84</f>
        <v>91342</v>
      </c>
      <c r="R84" s="4" t="n">
        <f aca="false">Q84-MAX(0,MAX($Q$2:Q84))</f>
        <v>0</v>
      </c>
    </row>
    <row r="85" customFormat="false" ht="15" hidden="false" customHeight="false" outlineLevel="0" collapsed="false">
      <c r="A85" s="7" t="n">
        <v>43832</v>
      </c>
      <c r="B85" s="8" t="n">
        <f aca="false">YEAR(A85)</f>
        <v>2020</v>
      </c>
      <c r="C85" s="8" t="n">
        <f aca="false">MONTH(A85)</f>
        <v>1</v>
      </c>
      <c r="D85" s="8" t="s">
        <v>36</v>
      </c>
      <c r="E85" s="9" t="n">
        <v>12198.6</v>
      </c>
      <c r="F85" s="10" t="n">
        <v>11.67</v>
      </c>
      <c r="G85" s="11" t="n">
        <v>48</v>
      </c>
      <c r="H85" s="4" t="n">
        <v>135</v>
      </c>
      <c r="I85" s="8" t="n">
        <v>1</v>
      </c>
      <c r="J85" s="11" t="n">
        <v>47.7</v>
      </c>
      <c r="K85" s="4" t="n">
        <v>-39</v>
      </c>
      <c r="L85" s="8" t="n">
        <v>1</v>
      </c>
      <c r="M85" s="11" t="n">
        <v>44.7</v>
      </c>
      <c r="N85" s="4" t="n">
        <v>1470</v>
      </c>
      <c r="O85" s="8" t="n">
        <v>1</v>
      </c>
      <c r="P85" s="4" t="n">
        <f aca="false">H85+K85+N85</f>
        <v>1566</v>
      </c>
      <c r="Q85" s="4" t="n">
        <f aca="false">Q84+P85</f>
        <v>92908</v>
      </c>
      <c r="R85" s="4" t="n">
        <f aca="false">Q85-MAX(0,MAX($Q$2:Q85))</f>
        <v>0</v>
      </c>
    </row>
    <row r="86" customFormat="false" ht="15" hidden="false" customHeight="false" outlineLevel="0" collapsed="false">
      <c r="A86" s="7" t="n">
        <v>43839</v>
      </c>
      <c r="B86" s="8" t="n">
        <f aca="false">YEAR(A86)</f>
        <v>2020</v>
      </c>
      <c r="C86" s="8" t="n">
        <f aca="false">MONTH(A86)</f>
        <v>1</v>
      </c>
      <c r="D86" s="8" t="s">
        <v>36</v>
      </c>
      <c r="E86" s="9" t="n">
        <v>12153.2</v>
      </c>
      <c r="F86" s="10" t="n">
        <v>15.64</v>
      </c>
      <c r="G86" s="11" t="n">
        <v>81.7</v>
      </c>
      <c r="H86" s="4" t="n">
        <v>1200</v>
      </c>
      <c r="I86" s="8" t="n">
        <v>1</v>
      </c>
      <c r="J86" s="11" t="n">
        <v>78.9</v>
      </c>
      <c r="K86" s="4" t="n">
        <v>1593</v>
      </c>
      <c r="L86" s="8" t="n">
        <v>1</v>
      </c>
      <c r="M86" s="11" t="n">
        <v>77.3</v>
      </c>
      <c r="N86" s="4" t="n">
        <v>3286</v>
      </c>
      <c r="O86" s="8" t="n">
        <v>0</v>
      </c>
      <c r="P86" s="4" t="n">
        <f aca="false">H86+K86+N86</f>
        <v>6079</v>
      </c>
      <c r="Q86" s="4" t="n">
        <f aca="false">Q85+P86</f>
        <v>98987</v>
      </c>
      <c r="R86" s="4" t="n">
        <f aca="false">Q86-MAX(0,MAX($Q$2:Q86))</f>
        <v>0</v>
      </c>
    </row>
    <row r="87" customFormat="false" ht="15" hidden="false" customHeight="false" outlineLevel="0" collapsed="false">
      <c r="A87" s="7" t="n">
        <v>43846</v>
      </c>
      <c r="B87" s="8" t="n">
        <f aca="false">YEAR(A87)</f>
        <v>2020</v>
      </c>
      <c r="C87" s="8" t="n">
        <f aca="false">MONTH(A87)</f>
        <v>1</v>
      </c>
      <c r="D87" s="8" t="s">
        <v>36</v>
      </c>
      <c r="E87" s="9" t="n">
        <v>12347.1</v>
      </c>
      <c r="F87" s="10" t="n">
        <v>14.12</v>
      </c>
      <c r="G87" s="11" t="n">
        <v>47.7</v>
      </c>
      <c r="H87" s="4" t="n">
        <v>-1200</v>
      </c>
      <c r="I87" s="8" t="n">
        <v>2</v>
      </c>
      <c r="J87" s="11" t="n">
        <v>45.7</v>
      </c>
      <c r="K87" s="4" t="n">
        <v>86</v>
      </c>
      <c r="L87" s="8" t="n">
        <v>1</v>
      </c>
      <c r="M87" s="11" t="n">
        <v>42.2</v>
      </c>
      <c r="N87" s="4" t="n">
        <v>328</v>
      </c>
      <c r="O87" s="8" t="n">
        <v>1</v>
      </c>
      <c r="P87" s="4" t="n">
        <f aca="false">H87+K87+N87</f>
        <v>-786</v>
      </c>
      <c r="Q87" s="4" t="n">
        <f aca="false">Q86+P87</f>
        <v>98201</v>
      </c>
      <c r="R87" s="4" t="n">
        <f aca="false">Q87-MAX(0,MAX($Q$2:Q87))</f>
        <v>-786</v>
      </c>
    </row>
    <row r="88" customFormat="false" ht="15" hidden="false" customHeight="false" outlineLevel="0" collapsed="false">
      <c r="A88" s="7" t="n">
        <v>43853</v>
      </c>
      <c r="B88" s="8" t="n">
        <f aca="false">YEAR(A88)</f>
        <v>2020</v>
      </c>
      <c r="C88" s="8" t="n">
        <f aca="false">MONTH(A88)</f>
        <v>1</v>
      </c>
      <c r="D88" s="8" t="s">
        <v>36</v>
      </c>
      <c r="E88" s="9" t="n">
        <v>12123.8</v>
      </c>
      <c r="F88" s="10" t="n">
        <v>16.36</v>
      </c>
      <c r="G88" s="11" t="n">
        <v>24.4</v>
      </c>
      <c r="H88" s="4" t="n">
        <v>-723</v>
      </c>
      <c r="I88" s="8" t="n">
        <v>2</v>
      </c>
      <c r="J88" s="11" t="n">
        <v>23</v>
      </c>
      <c r="K88" s="4" t="n">
        <v>-696</v>
      </c>
      <c r="L88" s="8" t="n">
        <v>2</v>
      </c>
      <c r="M88" s="11" t="n">
        <v>18.4</v>
      </c>
      <c r="N88" s="4" t="n">
        <v>-602</v>
      </c>
      <c r="O88" s="8" t="n">
        <v>2</v>
      </c>
      <c r="P88" s="4" t="n">
        <f aca="false">H88+K88+N88</f>
        <v>-2021</v>
      </c>
      <c r="Q88" s="4" t="n">
        <f aca="false">Q87+P88</f>
        <v>96180</v>
      </c>
      <c r="R88" s="4" t="n">
        <f aca="false">Q88-MAX(0,MAX($Q$2:Q88))</f>
        <v>-2807</v>
      </c>
    </row>
    <row r="89" customFormat="false" ht="15" hidden="false" customHeight="false" outlineLevel="0" collapsed="false">
      <c r="A89" s="7" t="n">
        <v>43860</v>
      </c>
      <c r="B89" s="8" t="n">
        <f aca="false">YEAR(A89)</f>
        <v>2020</v>
      </c>
      <c r="C89" s="8" t="n">
        <f aca="false">MONTH(A89)</f>
        <v>1</v>
      </c>
      <c r="D89" s="8" t="s">
        <v>36</v>
      </c>
      <c r="E89" s="9" t="n">
        <v>12147.8</v>
      </c>
      <c r="F89" s="10" t="n">
        <v>16.5</v>
      </c>
      <c r="G89" s="11" t="n">
        <v>64.5</v>
      </c>
      <c r="H89" s="4" t="n">
        <v>2188</v>
      </c>
      <c r="I89" s="8" t="n">
        <v>1</v>
      </c>
      <c r="J89" s="11" t="n">
        <v>63.2</v>
      </c>
      <c r="K89" s="4" t="n">
        <v>2220</v>
      </c>
      <c r="L89" s="8" t="n">
        <v>1</v>
      </c>
      <c r="M89" s="11" t="n">
        <v>56.7</v>
      </c>
      <c r="N89" s="4" t="n">
        <v>1195</v>
      </c>
      <c r="O89" s="8" t="n">
        <v>1</v>
      </c>
      <c r="P89" s="4" t="n">
        <f aca="false">H89+K89+N89</f>
        <v>5603</v>
      </c>
      <c r="Q89" s="4" t="n">
        <f aca="false">Q88+P89</f>
        <v>101783</v>
      </c>
      <c r="R89" s="4" t="n">
        <f aca="false">Q89-MAX(0,MAX($Q$2:Q89))</f>
        <v>0</v>
      </c>
    </row>
    <row r="90" customFormat="false" ht="15" hidden="false" customHeight="false" outlineLevel="0" collapsed="false">
      <c r="A90" s="7" t="n">
        <v>43867</v>
      </c>
      <c r="B90" s="8" t="n">
        <f aca="false">YEAR(A90)</f>
        <v>2020</v>
      </c>
      <c r="C90" s="8" t="n">
        <f aca="false">MONTH(A90)</f>
        <v>2</v>
      </c>
      <c r="D90" s="8" t="s">
        <v>36</v>
      </c>
      <c r="E90" s="9" t="n">
        <v>12120</v>
      </c>
      <c r="F90" s="10" t="n">
        <v>14.17</v>
      </c>
      <c r="G90" s="11" t="n">
        <v>76.2</v>
      </c>
      <c r="H90" s="4" t="n">
        <v>1404</v>
      </c>
      <c r="I90" s="8" t="n">
        <v>1</v>
      </c>
      <c r="J90" s="11" t="n">
        <v>75.4</v>
      </c>
      <c r="K90" s="4" t="n">
        <v>-1767</v>
      </c>
      <c r="L90" s="8" t="n">
        <v>2</v>
      </c>
      <c r="M90" s="11" t="n">
        <v>72</v>
      </c>
      <c r="N90" s="4" t="n">
        <v>-1698</v>
      </c>
      <c r="O90" s="8" t="n">
        <v>2</v>
      </c>
      <c r="P90" s="4" t="n">
        <f aca="false">H90+K90+N90</f>
        <v>-2061</v>
      </c>
      <c r="Q90" s="4" t="n">
        <f aca="false">Q89+P90</f>
        <v>99722</v>
      </c>
      <c r="R90" s="4" t="n">
        <f aca="false">Q90-MAX(0,MAX($Q$2:Q90))</f>
        <v>-2061</v>
      </c>
    </row>
    <row r="91" customFormat="false" ht="15" hidden="false" customHeight="false" outlineLevel="0" collapsed="false">
      <c r="A91" s="7" t="n">
        <v>43874</v>
      </c>
      <c r="B91" s="8" t="n">
        <f aca="false">YEAR(A91)</f>
        <v>2020</v>
      </c>
      <c r="C91" s="8" t="n">
        <f aca="false">MONTH(A91)</f>
        <v>2</v>
      </c>
      <c r="D91" s="8" t="s">
        <v>36</v>
      </c>
      <c r="E91" s="9" t="n">
        <v>12219.6</v>
      </c>
      <c r="F91" s="10" t="n">
        <v>13.62</v>
      </c>
      <c r="G91" s="11" t="n">
        <v>46.2</v>
      </c>
      <c r="H91" s="4" t="n">
        <v>-58</v>
      </c>
      <c r="I91" s="8" t="n">
        <v>1</v>
      </c>
      <c r="J91" s="11" t="n">
        <v>44.4</v>
      </c>
      <c r="K91" s="4" t="n">
        <v>-59</v>
      </c>
      <c r="L91" s="8" t="n">
        <v>1</v>
      </c>
      <c r="M91" s="11" t="n">
        <v>40.2</v>
      </c>
      <c r="N91" s="4" t="n">
        <v>375</v>
      </c>
      <c r="O91" s="8" t="n">
        <v>1</v>
      </c>
      <c r="P91" s="4" t="n">
        <f aca="false">H91+K91+N91</f>
        <v>258</v>
      </c>
      <c r="Q91" s="4" t="n">
        <f aca="false">Q90+P91</f>
        <v>99980</v>
      </c>
      <c r="R91" s="4" t="n">
        <f aca="false">Q91-MAX(0,MAX($Q$2:Q91))</f>
        <v>-1803</v>
      </c>
    </row>
    <row r="92" customFormat="false" ht="15" hidden="false" customHeight="false" outlineLevel="0" collapsed="false">
      <c r="A92" s="7" t="n">
        <v>43881</v>
      </c>
      <c r="B92" s="8" t="n">
        <f aca="false">YEAR(A92)</f>
        <v>2020</v>
      </c>
      <c r="C92" s="8" t="n">
        <f aca="false">MONTH(A92)</f>
        <v>2</v>
      </c>
      <c r="D92" s="8" t="s">
        <v>36</v>
      </c>
      <c r="E92" s="9" t="n">
        <v>12119</v>
      </c>
      <c r="F92" s="10" t="n">
        <v>14.02</v>
      </c>
      <c r="G92" s="11" t="n">
        <v>50.6</v>
      </c>
      <c r="H92" s="4" t="n">
        <v>-1260</v>
      </c>
      <c r="I92" s="8" t="n">
        <v>2</v>
      </c>
      <c r="J92" s="11" t="n">
        <v>46.9</v>
      </c>
      <c r="K92" s="4" t="n">
        <v>-1185</v>
      </c>
      <c r="L92" s="8" t="n">
        <v>2</v>
      </c>
      <c r="M92" s="11" t="n">
        <v>47.2</v>
      </c>
      <c r="N92" s="4" t="n">
        <v>-1191</v>
      </c>
      <c r="O92" s="8" t="n">
        <v>2</v>
      </c>
      <c r="P92" s="4" t="n">
        <f aca="false">H92+K92+N92</f>
        <v>-3636</v>
      </c>
      <c r="Q92" s="4" t="n">
        <f aca="false">Q91+P92</f>
        <v>96344</v>
      </c>
      <c r="R92" s="4" t="n">
        <f aca="false">Q92-MAX(0,MAX($Q$2:Q92))</f>
        <v>-5439</v>
      </c>
    </row>
    <row r="93" customFormat="false" ht="15" hidden="false" customHeight="false" outlineLevel="0" collapsed="false">
      <c r="A93" s="7" t="n">
        <v>43888</v>
      </c>
      <c r="B93" s="8" t="n">
        <f aca="false">YEAR(A93)</f>
        <v>2020</v>
      </c>
      <c r="C93" s="8" t="n">
        <f aca="false">MONTH(A93)</f>
        <v>2</v>
      </c>
      <c r="D93" s="8" t="s">
        <v>36</v>
      </c>
      <c r="E93" s="9" t="n">
        <v>11661.2</v>
      </c>
      <c r="F93" s="10" t="n">
        <v>18.26</v>
      </c>
      <c r="G93" s="11" t="n">
        <v>79.9</v>
      </c>
      <c r="H93" s="4" t="n">
        <v>-1218</v>
      </c>
      <c r="I93" s="8" t="n">
        <v>1</v>
      </c>
      <c r="J93" s="11" t="n">
        <v>80</v>
      </c>
      <c r="K93" s="4" t="n">
        <v>-1862</v>
      </c>
      <c r="L93" s="8" t="n">
        <v>2</v>
      </c>
      <c r="M93" s="11" t="n">
        <v>73.6</v>
      </c>
      <c r="N93" s="4" t="n">
        <v>1526</v>
      </c>
      <c r="O93" s="8" t="n">
        <v>1</v>
      </c>
      <c r="P93" s="4" t="n">
        <f aca="false">H93+K93+N93</f>
        <v>-1554</v>
      </c>
      <c r="Q93" s="4" t="n">
        <f aca="false">Q92+P93</f>
        <v>94790</v>
      </c>
      <c r="R93" s="4" t="n">
        <f aca="false">Q93-MAX(0,MAX($Q$2:Q93))</f>
        <v>-6993</v>
      </c>
    </row>
    <row r="94" customFormat="false" ht="15" hidden="false" customHeight="false" outlineLevel="0" collapsed="false">
      <c r="A94" s="7" t="n">
        <v>43895</v>
      </c>
      <c r="B94" s="8" t="n">
        <f aca="false">YEAR(A94)</f>
        <v>2020</v>
      </c>
      <c r="C94" s="8" t="n">
        <f aca="false">MONTH(A94)</f>
        <v>3</v>
      </c>
      <c r="D94" s="8" t="s">
        <v>36</v>
      </c>
      <c r="E94" s="9" t="n">
        <v>11306</v>
      </c>
      <c r="F94" s="10" t="n">
        <v>24.23</v>
      </c>
      <c r="G94" s="11" t="n">
        <v>97.5</v>
      </c>
      <c r="H94" s="4" t="n">
        <v>-2221</v>
      </c>
      <c r="I94" s="8" t="n">
        <v>2</v>
      </c>
      <c r="J94" s="11" t="n">
        <v>94.7</v>
      </c>
      <c r="K94" s="4" t="n">
        <v>854</v>
      </c>
      <c r="L94" s="8" t="n">
        <v>1</v>
      </c>
      <c r="M94" s="11" t="n">
        <v>90.1</v>
      </c>
      <c r="N94" s="4" t="n">
        <v>-287</v>
      </c>
      <c r="O94" s="8" t="n">
        <v>1</v>
      </c>
      <c r="P94" s="4" t="n">
        <f aca="false">H94+K94+N94</f>
        <v>-1654</v>
      </c>
      <c r="Q94" s="4" t="n">
        <f aca="false">Q93+P94</f>
        <v>93136</v>
      </c>
      <c r="R94" s="4" t="n">
        <f aca="false">Q94-MAX(0,MAX($Q$2:Q94))</f>
        <v>-8647</v>
      </c>
    </row>
    <row r="95" customFormat="false" ht="15" hidden="false" customHeight="false" outlineLevel="0" collapsed="false">
      <c r="A95" s="7" t="n">
        <v>43902</v>
      </c>
      <c r="B95" s="8" t="n">
        <f aca="false">YEAR(A95)</f>
        <v>2020</v>
      </c>
      <c r="C95" s="8" t="n">
        <f aca="false">MONTH(A95)</f>
        <v>3</v>
      </c>
      <c r="D95" s="8" t="s">
        <v>36</v>
      </c>
      <c r="E95" s="9" t="n">
        <v>10040</v>
      </c>
      <c r="F95" s="10" t="n">
        <v>31.56</v>
      </c>
      <c r="G95" s="11" t="n">
        <v>147.2</v>
      </c>
      <c r="H95" s="4" t="n">
        <v>3819</v>
      </c>
      <c r="I95" s="8" t="n">
        <v>1</v>
      </c>
      <c r="J95" s="11" t="n">
        <v>141.4</v>
      </c>
      <c r="K95" s="4" t="n">
        <v>2524</v>
      </c>
      <c r="L95" s="8" t="n">
        <v>1</v>
      </c>
      <c r="M95" s="11" t="n">
        <v>134.7</v>
      </c>
      <c r="N95" s="4" t="n">
        <v>2582</v>
      </c>
      <c r="O95" s="8" t="n">
        <v>1</v>
      </c>
      <c r="P95" s="4" t="n">
        <f aca="false">H95+K95+N95</f>
        <v>8925</v>
      </c>
      <c r="Q95" s="4" t="n">
        <f aca="false">Q94+P95</f>
        <v>102061</v>
      </c>
      <c r="R95" s="4" t="n">
        <f aca="false">Q95-MAX(0,MAX($Q$2:Q95))</f>
        <v>0</v>
      </c>
    </row>
    <row r="96" customFormat="false" ht="15" hidden="false" customHeight="false" outlineLevel="0" collapsed="false">
      <c r="A96" s="7" t="n">
        <v>43909</v>
      </c>
      <c r="B96" s="8" t="n">
        <f aca="false">YEAR(A96)</f>
        <v>2020</v>
      </c>
      <c r="C96" s="8" t="n">
        <f aca="false">MONTH(A96)</f>
        <v>3</v>
      </c>
      <c r="D96" s="8" t="s">
        <v>36</v>
      </c>
      <c r="E96" s="9" t="n">
        <v>8063.3</v>
      </c>
      <c r="F96" s="10" t="n">
        <v>63.96</v>
      </c>
      <c r="G96" s="11" t="n">
        <v>240.2</v>
      </c>
      <c r="H96" s="4" t="n">
        <v>4281</v>
      </c>
      <c r="I96" s="8" t="n">
        <v>1</v>
      </c>
      <c r="J96" s="11" t="n">
        <v>232.5</v>
      </c>
      <c r="K96" s="4" t="n">
        <v>4659</v>
      </c>
      <c r="L96" s="8" t="n">
        <v>1</v>
      </c>
      <c r="M96" s="11" t="n">
        <v>222.7</v>
      </c>
      <c r="N96" s="4" t="n">
        <v>5070</v>
      </c>
      <c r="O96" s="8" t="n">
        <v>1</v>
      </c>
      <c r="P96" s="4" t="n">
        <f aca="false">H96+K96+N96</f>
        <v>14010</v>
      </c>
      <c r="Q96" s="4" t="n">
        <f aca="false">Q95+P96</f>
        <v>116071</v>
      </c>
      <c r="R96" s="4" t="n">
        <f aca="false">Q96-MAX(0,MAX($Q$2:Q96))</f>
        <v>0</v>
      </c>
    </row>
    <row r="97" customFormat="false" ht="15" hidden="false" customHeight="false" outlineLevel="0" collapsed="false">
      <c r="A97" s="7" t="n">
        <v>43916</v>
      </c>
      <c r="B97" s="8" t="n">
        <f aca="false">YEAR(A97)</f>
        <v>2020</v>
      </c>
      <c r="C97" s="8" t="n">
        <f aca="false">MONTH(A97)</f>
        <v>3</v>
      </c>
      <c r="D97" s="8" t="s">
        <v>36</v>
      </c>
      <c r="E97" s="9" t="n">
        <v>8451</v>
      </c>
      <c r="F97" s="10" t="n">
        <v>77.63</v>
      </c>
      <c r="G97" s="11" t="n">
        <v>329.5</v>
      </c>
      <c r="H97" s="4" t="n">
        <v>6227</v>
      </c>
      <c r="I97" s="8" t="n">
        <v>1</v>
      </c>
      <c r="J97" s="11" t="n">
        <v>324.9</v>
      </c>
      <c r="K97" s="4" t="n">
        <v>4597</v>
      </c>
      <c r="L97" s="8" t="n">
        <v>1</v>
      </c>
      <c r="M97" s="11" t="n">
        <v>311.3</v>
      </c>
      <c r="N97" s="4" t="n">
        <v>5590</v>
      </c>
      <c r="O97" s="8" t="n">
        <v>1</v>
      </c>
      <c r="P97" s="4" t="n">
        <f aca="false">H97+K97+N97</f>
        <v>16414</v>
      </c>
      <c r="Q97" s="4" t="n">
        <f aca="false">Q96+P97</f>
        <v>132485</v>
      </c>
      <c r="R97" s="4" t="n">
        <f aca="false">Q97-MAX(0,MAX($Q$2:Q97))</f>
        <v>0</v>
      </c>
    </row>
    <row r="98" customFormat="false" ht="15" hidden="false" customHeight="false" outlineLevel="0" collapsed="false">
      <c r="A98" s="7" t="n">
        <v>43922</v>
      </c>
      <c r="B98" s="8" t="n">
        <f aca="false">YEAR(A98)</f>
        <v>2020</v>
      </c>
      <c r="C98" s="8" t="n">
        <f aca="false">MONTH(A98)</f>
        <v>4</v>
      </c>
      <c r="D98" s="8" t="s">
        <v>37</v>
      </c>
      <c r="E98" s="9" t="n">
        <v>8584.1</v>
      </c>
      <c r="F98" s="10" t="n">
        <v>64.41</v>
      </c>
      <c r="G98" s="11" t="n">
        <v>205.2</v>
      </c>
      <c r="H98" s="4" t="n">
        <v>5014</v>
      </c>
      <c r="I98" s="8" t="n">
        <v>1</v>
      </c>
      <c r="J98" s="11" t="n">
        <v>198.6</v>
      </c>
      <c r="K98" s="4" t="n">
        <v>4244</v>
      </c>
      <c r="L98" s="8" t="n">
        <v>1</v>
      </c>
      <c r="M98" s="11" t="n">
        <v>189.4</v>
      </c>
      <c r="N98" s="4" t="n">
        <v>3328</v>
      </c>
      <c r="O98" s="8" t="n">
        <v>1</v>
      </c>
      <c r="P98" s="4" t="n">
        <f aca="false">H98+K98+N98</f>
        <v>12586</v>
      </c>
      <c r="Q98" s="4" t="n">
        <f aca="false">Q97+P98</f>
        <v>145071</v>
      </c>
      <c r="R98" s="4" t="n">
        <f aca="false">Q98-MAX(0,MAX($Q$2:Q98))</f>
        <v>0</v>
      </c>
    </row>
    <row r="99" customFormat="false" ht="15" hidden="false" customHeight="false" outlineLevel="0" collapsed="false">
      <c r="A99" s="7" t="n">
        <v>43930</v>
      </c>
      <c r="B99" s="8" t="n">
        <f aca="false">YEAR(A99)</f>
        <v>2020</v>
      </c>
      <c r="C99" s="8" t="n">
        <f aca="false">MONTH(A99)</f>
        <v>4</v>
      </c>
      <c r="D99" s="8" t="s">
        <v>36</v>
      </c>
      <c r="E99" s="9" t="n">
        <v>8973</v>
      </c>
      <c r="F99" s="10" t="n">
        <v>52.24</v>
      </c>
      <c r="G99" s="11" t="n">
        <v>187.1</v>
      </c>
      <c r="H99" s="4" t="n">
        <v>-4054</v>
      </c>
      <c r="I99" s="8" t="n">
        <v>2</v>
      </c>
      <c r="J99" s="11" t="n">
        <v>181.7</v>
      </c>
      <c r="K99" s="4" t="n">
        <v>-3943</v>
      </c>
      <c r="L99" s="8" t="n">
        <v>2</v>
      </c>
      <c r="M99" s="11" t="n">
        <v>173.2</v>
      </c>
      <c r="N99" s="4" t="n">
        <v>-3769</v>
      </c>
      <c r="O99" s="8" t="n">
        <v>2</v>
      </c>
      <c r="P99" s="4" t="n">
        <f aca="false">H99+K99+N99</f>
        <v>-11766</v>
      </c>
      <c r="Q99" s="4" t="n">
        <f aca="false">Q98+P99</f>
        <v>133305</v>
      </c>
      <c r="R99" s="4" t="n">
        <f aca="false">Q99-MAX(0,MAX($Q$2:Q99))</f>
        <v>-11766</v>
      </c>
    </row>
    <row r="100" customFormat="false" ht="15" hidden="false" customHeight="false" outlineLevel="0" collapsed="false">
      <c r="A100" s="7" t="n">
        <v>43937</v>
      </c>
      <c r="B100" s="8" t="n">
        <f aca="false">YEAR(A100)</f>
        <v>2020</v>
      </c>
      <c r="C100" s="8" t="n">
        <f aca="false">MONTH(A100)</f>
        <v>4</v>
      </c>
      <c r="D100" s="8" t="s">
        <v>36</v>
      </c>
      <c r="E100" s="9" t="n">
        <v>8851.2</v>
      </c>
      <c r="F100" s="10" t="n">
        <v>49.74</v>
      </c>
      <c r="G100" s="11" t="n">
        <v>169.5</v>
      </c>
      <c r="H100" s="4" t="n">
        <v>-3694</v>
      </c>
      <c r="I100" s="8" t="n">
        <v>2</v>
      </c>
      <c r="J100" s="11" t="n">
        <v>164.1</v>
      </c>
      <c r="K100" s="4" t="n">
        <v>2403</v>
      </c>
      <c r="L100" s="8" t="n">
        <v>1</v>
      </c>
      <c r="M100" s="11" t="n">
        <v>157.2</v>
      </c>
      <c r="N100" s="4" t="n">
        <v>2270</v>
      </c>
      <c r="O100" s="8" t="n">
        <v>1</v>
      </c>
      <c r="P100" s="4" t="n">
        <f aca="false">H100+K100+N100</f>
        <v>979</v>
      </c>
      <c r="Q100" s="4" t="n">
        <f aca="false">Q99+P100</f>
        <v>134284</v>
      </c>
      <c r="R100" s="4" t="n">
        <f aca="false">Q100-MAX(0,MAX($Q$2:Q100))</f>
        <v>-10787</v>
      </c>
    </row>
    <row r="101" customFormat="false" ht="15" hidden="false" customHeight="false" outlineLevel="0" collapsed="false">
      <c r="A101" s="7" t="n">
        <v>43944</v>
      </c>
      <c r="B101" s="8" t="n">
        <f aca="false">YEAR(A101)</f>
        <v>2020</v>
      </c>
      <c r="C101" s="8" t="n">
        <f aca="false">MONTH(A101)</f>
        <v>4</v>
      </c>
      <c r="D101" s="8" t="s">
        <v>36</v>
      </c>
      <c r="E101" s="9" t="n">
        <v>9232.4</v>
      </c>
      <c r="F101" s="10" t="n">
        <v>42.82</v>
      </c>
      <c r="G101" s="11" t="n">
        <v>142.4</v>
      </c>
      <c r="H101" s="4" t="n">
        <v>3389</v>
      </c>
      <c r="I101" s="8" t="n">
        <v>1</v>
      </c>
      <c r="J101" s="11" t="n">
        <v>139.5</v>
      </c>
      <c r="K101" s="4" t="n">
        <v>4490</v>
      </c>
      <c r="L101" s="8" t="n">
        <v>0</v>
      </c>
      <c r="M101" s="11" t="n">
        <v>132.8</v>
      </c>
      <c r="N101" s="4" t="n">
        <v>6289</v>
      </c>
      <c r="O101" s="8" t="n">
        <v>0</v>
      </c>
      <c r="P101" s="4" t="n">
        <f aca="false">H101+K101+N101</f>
        <v>14168</v>
      </c>
      <c r="Q101" s="4" t="n">
        <f aca="false">Q100+P101</f>
        <v>148452</v>
      </c>
      <c r="R101" s="4" t="n">
        <f aca="false">Q101-MAX(0,MAX($Q$2:Q101))</f>
        <v>0</v>
      </c>
    </row>
    <row r="102" customFormat="false" ht="15" hidden="false" customHeight="false" outlineLevel="0" collapsed="false">
      <c r="A102" s="7" t="n">
        <v>43951</v>
      </c>
      <c r="B102" s="8" t="n">
        <f aca="false">YEAR(A102)</f>
        <v>2020</v>
      </c>
      <c r="C102" s="8" t="n">
        <f aca="false">MONTH(A102)</f>
        <v>4</v>
      </c>
      <c r="D102" s="8" t="s">
        <v>36</v>
      </c>
      <c r="E102" s="9" t="n">
        <v>9753.5</v>
      </c>
      <c r="F102" s="10" t="n">
        <v>33.84</v>
      </c>
      <c r="G102" s="11" t="n">
        <v>80.8</v>
      </c>
      <c r="H102" s="4" t="n">
        <v>984</v>
      </c>
      <c r="I102" s="8" t="n">
        <v>1</v>
      </c>
      <c r="J102" s="11" t="n">
        <v>79.5</v>
      </c>
      <c r="K102" s="4" t="n">
        <v>-1853</v>
      </c>
      <c r="L102" s="8" t="n">
        <v>2</v>
      </c>
      <c r="M102" s="11" t="n">
        <v>74.8</v>
      </c>
      <c r="N102" s="4" t="n">
        <v>-1756</v>
      </c>
      <c r="O102" s="8" t="n">
        <v>2</v>
      </c>
      <c r="P102" s="4" t="n">
        <f aca="false">H102+K102+N102</f>
        <v>-2625</v>
      </c>
      <c r="Q102" s="4" t="n">
        <f aca="false">Q101+P102</f>
        <v>145827</v>
      </c>
      <c r="R102" s="4" t="n">
        <f aca="false">Q102-MAX(0,MAX($Q$2:Q102))</f>
        <v>-2625</v>
      </c>
    </row>
    <row r="103" customFormat="false" ht="15" hidden="false" customHeight="false" outlineLevel="0" collapsed="false">
      <c r="A103" s="7" t="n">
        <v>43958</v>
      </c>
      <c r="B103" s="8" t="n">
        <f aca="false">YEAR(A103)</f>
        <v>2020</v>
      </c>
      <c r="C103" s="8" t="n">
        <f aca="false">MONTH(A103)</f>
        <v>5</v>
      </c>
      <c r="D103" s="8" t="s">
        <v>36</v>
      </c>
      <c r="E103" s="9" t="n">
        <v>9234</v>
      </c>
      <c r="F103" s="10" t="n">
        <v>41.25</v>
      </c>
      <c r="G103" s="11" t="n">
        <v>138.8</v>
      </c>
      <c r="H103" s="4" t="n">
        <v>223</v>
      </c>
      <c r="I103" s="8" t="n">
        <v>1</v>
      </c>
      <c r="J103" s="11" t="n">
        <v>134.5</v>
      </c>
      <c r="K103" s="4" t="n">
        <v>2625</v>
      </c>
      <c r="L103" s="8" t="n">
        <v>1</v>
      </c>
      <c r="M103" s="11" t="n">
        <v>129.2</v>
      </c>
      <c r="N103" s="4" t="n">
        <v>4876</v>
      </c>
      <c r="O103" s="8" t="n">
        <v>0</v>
      </c>
      <c r="P103" s="4" t="n">
        <f aca="false">H103+K103+N103</f>
        <v>7724</v>
      </c>
      <c r="Q103" s="4" t="n">
        <f aca="false">Q102+P103</f>
        <v>153551</v>
      </c>
      <c r="R103" s="4" t="n">
        <f aca="false">Q103-MAX(0,MAX($Q$2:Q103))</f>
        <v>0</v>
      </c>
    </row>
    <row r="104" customFormat="false" ht="15" hidden="false" customHeight="false" outlineLevel="0" collapsed="false">
      <c r="A104" s="7" t="n">
        <v>43965</v>
      </c>
      <c r="B104" s="8" t="n">
        <f aca="false">YEAR(A104)</f>
        <v>2020</v>
      </c>
      <c r="C104" s="8" t="n">
        <f aca="false">MONTH(A104)</f>
        <v>5</v>
      </c>
      <c r="D104" s="8" t="s">
        <v>36</v>
      </c>
      <c r="E104" s="9" t="n">
        <v>9214</v>
      </c>
      <c r="F104" s="10" t="n">
        <v>38.84</v>
      </c>
      <c r="G104" s="11" t="n">
        <v>175.2</v>
      </c>
      <c r="H104" s="4" t="n">
        <v>2869</v>
      </c>
      <c r="I104" s="8" t="n">
        <v>1</v>
      </c>
      <c r="J104" s="11" t="n">
        <v>168.7</v>
      </c>
      <c r="K104" s="4" t="n">
        <v>3104</v>
      </c>
      <c r="L104" s="8" t="n">
        <v>1</v>
      </c>
      <c r="M104" s="11" t="n">
        <v>160.4</v>
      </c>
      <c r="N104" s="4" t="n">
        <v>5869</v>
      </c>
      <c r="O104" s="8" t="n">
        <v>0</v>
      </c>
      <c r="P104" s="4" t="n">
        <f aca="false">H104+K104+N104</f>
        <v>11842</v>
      </c>
      <c r="Q104" s="4" t="n">
        <f aca="false">Q103+P104</f>
        <v>165393</v>
      </c>
      <c r="R104" s="4" t="n">
        <f aca="false">Q104-MAX(0,MAX($Q$2:Q104))</f>
        <v>0</v>
      </c>
    </row>
    <row r="105" customFormat="false" ht="15" hidden="false" customHeight="false" outlineLevel="0" collapsed="false">
      <c r="A105" s="7" t="n">
        <v>43972</v>
      </c>
      <c r="B105" s="8" t="n">
        <f aca="false">YEAR(A105)</f>
        <v>2020</v>
      </c>
      <c r="C105" s="8" t="n">
        <f aca="false">MONTH(A105)</f>
        <v>5</v>
      </c>
      <c r="D105" s="8" t="s">
        <v>36</v>
      </c>
      <c r="E105" s="9" t="n">
        <v>9079.4</v>
      </c>
      <c r="F105" s="10" t="n">
        <v>35.81</v>
      </c>
      <c r="G105" s="11" t="n">
        <v>111.9</v>
      </c>
      <c r="H105" s="4" t="n">
        <v>5410</v>
      </c>
      <c r="I105" s="8" t="n">
        <v>0</v>
      </c>
      <c r="J105" s="11" t="n">
        <v>108.4</v>
      </c>
      <c r="K105" s="4" t="n">
        <v>936</v>
      </c>
      <c r="L105" s="8" t="n">
        <v>1</v>
      </c>
      <c r="M105" s="11" t="n">
        <v>103</v>
      </c>
      <c r="N105" s="4" t="n">
        <v>3824</v>
      </c>
      <c r="O105" s="8" t="n">
        <v>0</v>
      </c>
      <c r="P105" s="4" t="n">
        <f aca="false">H105+K105+N105</f>
        <v>10170</v>
      </c>
      <c r="Q105" s="4" t="n">
        <f aca="false">Q104+P105</f>
        <v>175563</v>
      </c>
      <c r="R105" s="4" t="n">
        <f aca="false">Q105-MAX(0,MAX($Q$2:Q105))</f>
        <v>0</v>
      </c>
    </row>
    <row r="106" customFormat="false" ht="15" hidden="false" customHeight="false" outlineLevel="0" collapsed="false">
      <c r="A106" s="7" t="n">
        <v>43979</v>
      </c>
      <c r="B106" s="8" t="n">
        <f aca="false">YEAR(A106)</f>
        <v>2020</v>
      </c>
      <c r="C106" s="8" t="n">
        <f aca="false">MONTH(A106)</f>
        <v>5</v>
      </c>
      <c r="D106" s="8" t="s">
        <v>36</v>
      </c>
      <c r="E106" s="9" t="n">
        <v>9365</v>
      </c>
      <c r="F106" s="10" t="n">
        <v>31.27</v>
      </c>
      <c r="G106" s="11" t="n">
        <v>93.2</v>
      </c>
      <c r="H106" s="4" t="n">
        <v>1296</v>
      </c>
      <c r="I106" s="8" t="n">
        <v>1</v>
      </c>
      <c r="J106" s="11" t="n">
        <v>90.1</v>
      </c>
      <c r="K106" s="4" t="n">
        <v>1429</v>
      </c>
      <c r="L106" s="8" t="n">
        <v>1</v>
      </c>
      <c r="M106" s="11" t="n">
        <v>87.6</v>
      </c>
      <c r="N106" s="4" t="n">
        <v>746</v>
      </c>
      <c r="O106" s="8" t="n">
        <v>1</v>
      </c>
      <c r="P106" s="4" t="n">
        <f aca="false">H106+K106+N106</f>
        <v>3471</v>
      </c>
      <c r="Q106" s="4" t="n">
        <f aca="false">Q105+P106</f>
        <v>179034</v>
      </c>
      <c r="R106" s="4" t="n">
        <f aca="false">Q106-MAX(0,MAX($Q$2:Q106))</f>
        <v>0</v>
      </c>
    </row>
    <row r="107" customFormat="false" ht="15" hidden="false" customHeight="false" outlineLevel="0" collapsed="false">
      <c r="A107" s="7" t="n">
        <v>43986</v>
      </c>
      <c r="B107" s="8" t="n">
        <f aca="false">YEAR(A107)</f>
        <v>2020</v>
      </c>
      <c r="C107" s="8" t="n">
        <f aca="false">MONTH(A107)</f>
        <v>6</v>
      </c>
      <c r="D107" s="8" t="s">
        <v>36</v>
      </c>
      <c r="E107" s="9" t="n">
        <v>10054.2</v>
      </c>
      <c r="F107" s="10" t="n">
        <v>30.04</v>
      </c>
      <c r="G107" s="11" t="n">
        <v>93.5</v>
      </c>
      <c r="H107" s="4" t="n">
        <v>-2138</v>
      </c>
      <c r="I107" s="8" t="n">
        <v>2</v>
      </c>
      <c r="J107" s="11" t="n">
        <v>91</v>
      </c>
      <c r="K107" s="4" t="n">
        <v>-2086</v>
      </c>
      <c r="L107" s="8" t="n">
        <v>2</v>
      </c>
      <c r="M107" s="11" t="n">
        <v>88.5</v>
      </c>
      <c r="N107" s="4" t="n">
        <v>809</v>
      </c>
      <c r="O107" s="8" t="n">
        <v>1</v>
      </c>
      <c r="P107" s="4" t="n">
        <f aca="false">H107+K107+N107</f>
        <v>-3415</v>
      </c>
      <c r="Q107" s="4" t="n">
        <f aca="false">Q106+P107</f>
        <v>175619</v>
      </c>
      <c r="R107" s="4" t="n">
        <f aca="false">Q107-MAX(0,MAX($Q$2:Q107))</f>
        <v>-3415</v>
      </c>
    </row>
    <row r="108" customFormat="false" ht="15" hidden="false" customHeight="false" outlineLevel="0" collapsed="false">
      <c r="A108" s="7" t="n">
        <v>43993</v>
      </c>
      <c r="B108" s="8" t="n">
        <f aca="false">YEAR(A108)</f>
        <v>2020</v>
      </c>
      <c r="C108" s="8" t="n">
        <f aca="false">MONTH(A108)</f>
        <v>6</v>
      </c>
      <c r="D108" s="8" t="s">
        <v>36</v>
      </c>
      <c r="E108" s="9" t="n">
        <v>10094.1</v>
      </c>
      <c r="F108" s="10" t="n">
        <v>29.44</v>
      </c>
      <c r="G108" s="11" t="n">
        <v>96</v>
      </c>
      <c r="H108" s="4" t="n">
        <v>1529</v>
      </c>
      <c r="I108" s="8" t="n">
        <v>1</v>
      </c>
      <c r="J108" s="11" t="n">
        <v>93.3</v>
      </c>
      <c r="K108" s="4" t="n">
        <v>1397</v>
      </c>
      <c r="L108" s="8" t="n">
        <v>1</v>
      </c>
      <c r="M108" s="11" t="n">
        <v>89.2</v>
      </c>
      <c r="N108" s="4" t="n">
        <v>1185</v>
      </c>
      <c r="O108" s="8" t="n">
        <v>1</v>
      </c>
      <c r="P108" s="4" t="n">
        <f aca="false">H108+K108+N108</f>
        <v>4111</v>
      </c>
      <c r="Q108" s="4" t="n">
        <f aca="false">Q107+P108</f>
        <v>179730</v>
      </c>
      <c r="R108" s="4" t="n">
        <f aca="false">Q108-MAX(0,MAX($Q$2:Q108))</f>
        <v>0</v>
      </c>
    </row>
    <row r="109" customFormat="false" ht="15" hidden="false" customHeight="false" outlineLevel="0" collapsed="false">
      <c r="A109" s="7" t="n">
        <v>44000</v>
      </c>
      <c r="B109" s="8" t="n">
        <f aca="false">YEAR(A109)</f>
        <v>2020</v>
      </c>
      <c r="C109" s="8" t="n">
        <f aca="false">MONTH(A109)</f>
        <v>6</v>
      </c>
      <c r="D109" s="8" t="s">
        <v>36</v>
      </c>
      <c r="E109" s="9" t="n">
        <v>9863.2</v>
      </c>
      <c r="F109" s="10" t="n">
        <v>33.35</v>
      </c>
      <c r="G109" s="11" t="n">
        <v>107.4</v>
      </c>
      <c r="H109" s="4" t="n">
        <v>2702</v>
      </c>
      <c r="I109" s="8" t="n">
        <v>1</v>
      </c>
      <c r="J109" s="11" t="n">
        <v>104</v>
      </c>
      <c r="K109" s="4" t="n">
        <v>1844</v>
      </c>
      <c r="L109" s="8" t="n">
        <v>1</v>
      </c>
      <c r="M109" s="11" t="n">
        <v>100.1</v>
      </c>
      <c r="N109" s="4" t="n">
        <v>-2274</v>
      </c>
      <c r="O109" s="8" t="n">
        <v>2</v>
      </c>
      <c r="P109" s="4" t="n">
        <f aca="false">H109+K109+N109</f>
        <v>2272</v>
      </c>
      <c r="Q109" s="4" t="n">
        <f aca="false">Q108+P109</f>
        <v>182002</v>
      </c>
      <c r="R109" s="4" t="n">
        <f aca="false">Q109-MAX(0,MAX($Q$2:Q109))</f>
        <v>0</v>
      </c>
    </row>
    <row r="110" customFormat="false" ht="15" hidden="false" customHeight="false" outlineLevel="0" collapsed="false">
      <c r="A110" s="7" t="n">
        <v>44007</v>
      </c>
      <c r="B110" s="8" t="n">
        <f aca="false">YEAR(A110)</f>
        <v>2020</v>
      </c>
      <c r="C110" s="8" t="n">
        <f aca="false">MONTH(A110)</f>
        <v>6</v>
      </c>
      <c r="D110" s="8" t="s">
        <v>36</v>
      </c>
      <c r="E110" s="9" t="n">
        <v>10235.6</v>
      </c>
      <c r="F110" s="10" t="n">
        <v>29.58</v>
      </c>
      <c r="G110" s="11" t="n">
        <v>82.1</v>
      </c>
      <c r="H110" s="4" t="n">
        <v>-1905</v>
      </c>
      <c r="I110" s="8" t="n">
        <v>2</v>
      </c>
      <c r="J110" s="11" t="n">
        <v>79.1</v>
      </c>
      <c r="K110" s="4" t="n">
        <v>-1843</v>
      </c>
      <c r="L110" s="8" t="n">
        <v>2</v>
      </c>
      <c r="M110" s="11" t="n">
        <v>76.3</v>
      </c>
      <c r="N110" s="4" t="n">
        <v>-1787</v>
      </c>
      <c r="O110" s="8" t="n">
        <v>2</v>
      </c>
      <c r="P110" s="4" t="n">
        <f aca="false">H110+K110+N110</f>
        <v>-5535</v>
      </c>
      <c r="Q110" s="4" t="n">
        <f aca="false">Q109+P110</f>
        <v>176467</v>
      </c>
      <c r="R110" s="4" t="n">
        <f aca="false">Q110-MAX(0,MAX($Q$2:Q110))</f>
        <v>-5535</v>
      </c>
    </row>
    <row r="111" customFormat="false" ht="15" hidden="false" customHeight="false" outlineLevel="0" collapsed="false">
      <c r="A111" s="7" t="n">
        <v>44014</v>
      </c>
      <c r="B111" s="8" t="n">
        <f aca="false">YEAR(A111)</f>
        <v>2020</v>
      </c>
      <c r="C111" s="8" t="n">
        <f aca="false">MONTH(A111)</f>
        <v>7</v>
      </c>
      <c r="D111" s="8" t="s">
        <v>36</v>
      </c>
      <c r="E111" s="9" t="n">
        <v>10493</v>
      </c>
      <c r="F111" s="10" t="n">
        <v>28.12</v>
      </c>
      <c r="G111" s="11" t="n">
        <v>89.2</v>
      </c>
      <c r="H111" s="4" t="n">
        <v>-2051</v>
      </c>
      <c r="I111" s="8" t="n">
        <v>2</v>
      </c>
      <c r="J111" s="11" t="n">
        <v>87.6</v>
      </c>
      <c r="K111" s="4" t="n">
        <v>742</v>
      </c>
      <c r="L111" s="8" t="n">
        <v>1</v>
      </c>
      <c r="M111" s="11" t="n">
        <v>83.7</v>
      </c>
      <c r="N111" s="4" t="n">
        <v>-1937</v>
      </c>
      <c r="O111" s="8" t="n">
        <v>2</v>
      </c>
      <c r="P111" s="4" t="n">
        <f aca="false">H111+K111+N111</f>
        <v>-3246</v>
      </c>
      <c r="Q111" s="4" t="n">
        <f aca="false">Q110+P111</f>
        <v>173221</v>
      </c>
      <c r="R111" s="4" t="n">
        <f aca="false">Q111-MAX(0,MAX($Q$2:Q111))</f>
        <v>-8781</v>
      </c>
    </row>
    <row r="112" customFormat="false" ht="15" hidden="false" customHeight="false" outlineLevel="0" collapsed="false">
      <c r="A112" s="7" t="n">
        <v>44021</v>
      </c>
      <c r="B112" s="8" t="n">
        <f aca="false">YEAR(A112)</f>
        <v>2020</v>
      </c>
      <c r="C112" s="8" t="n">
        <f aca="false">MONTH(A112)</f>
        <v>7</v>
      </c>
      <c r="D112" s="8" t="s">
        <v>36</v>
      </c>
      <c r="E112" s="9" t="n">
        <v>10755.6</v>
      </c>
      <c r="F112" s="10" t="n">
        <v>26.1</v>
      </c>
      <c r="G112" s="11" t="n">
        <v>84</v>
      </c>
      <c r="H112" s="4" t="n">
        <v>995</v>
      </c>
      <c r="I112" s="8" t="n">
        <v>1</v>
      </c>
      <c r="J112" s="11" t="n">
        <v>82.1</v>
      </c>
      <c r="K112" s="4" t="n">
        <v>806</v>
      </c>
      <c r="L112" s="8" t="n">
        <v>1</v>
      </c>
      <c r="M112" s="11" t="n">
        <v>79.1</v>
      </c>
      <c r="N112" s="4" t="n">
        <v>539</v>
      </c>
      <c r="O112" s="8" t="n">
        <v>1</v>
      </c>
      <c r="P112" s="4" t="n">
        <f aca="false">H112+K112+N112</f>
        <v>2340</v>
      </c>
      <c r="Q112" s="4" t="n">
        <f aca="false">Q111+P112</f>
        <v>175561</v>
      </c>
      <c r="R112" s="4" t="n">
        <f aca="false">Q112-MAX(0,MAX($Q$2:Q112))</f>
        <v>-6441</v>
      </c>
    </row>
    <row r="113" customFormat="false" ht="15" hidden="false" customHeight="false" outlineLevel="0" collapsed="false">
      <c r="A113" s="7" t="n">
        <v>44028</v>
      </c>
      <c r="B113" s="8" t="n">
        <f aca="false">YEAR(A113)</f>
        <v>2020</v>
      </c>
      <c r="C113" s="8" t="n">
        <f aca="false">MONTH(A113)</f>
        <v>7</v>
      </c>
      <c r="D113" s="8" t="s">
        <v>36</v>
      </c>
      <c r="E113" s="9" t="n">
        <v>10706.2</v>
      </c>
      <c r="F113" s="10" t="n">
        <v>26.29</v>
      </c>
      <c r="G113" s="11" t="n">
        <v>86.7</v>
      </c>
      <c r="H113" s="4" t="n">
        <v>1452</v>
      </c>
      <c r="I113" s="8" t="n">
        <v>1</v>
      </c>
      <c r="J113" s="11" t="n">
        <v>85.7</v>
      </c>
      <c r="K113" s="4" t="n">
        <v>-1978</v>
      </c>
      <c r="L113" s="8" t="n">
        <v>2</v>
      </c>
      <c r="M113" s="11" t="n">
        <v>81.8</v>
      </c>
      <c r="N113" s="4" t="n">
        <v>-1899</v>
      </c>
      <c r="O113" s="8" t="n">
        <v>2</v>
      </c>
      <c r="P113" s="4" t="n">
        <f aca="false">H113+K113+N113</f>
        <v>-2425</v>
      </c>
      <c r="Q113" s="4" t="n">
        <f aca="false">Q112+P113</f>
        <v>173136</v>
      </c>
      <c r="R113" s="4" t="n">
        <f aca="false">Q113-MAX(0,MAX($Q$2:Q113))</f>
        <v>-8866</v>
      </c>
    </row>
    <row r="114" customFormat="false" ht="15" hidden="false" customHeight="false" outlineLevel="0" collapsed="false">
      <c r="A114" s="7" t="n">
        <v>44035</v>
      </c>
      <c r="B114" s="8" t="n">
        <f aca="false">YEAR(A114)</f>
        <v>2020</v>
      </c>
      <c r="C114" s="8" t="n">
        <f aca="false">MONTH(A114)</f>
        <v>7</v>
      </c>
      <c r="D114" s="8" t="s">
        <v>36</v>
      </c>
      <c r="E114" s="9" t="n">
        <v>11135</v>
      </c>
      <c r="F114" s="10" t="n">
        <v>24.89</v>
      </c>
      <c r="G114" s="11" t="n">
        <v>101.8</v>
      </c>
      <c r="H114" s="4" t="n">
        <v>965</v>
      </c>
      <c r="I114" s="8" t="n">
        <v>1</v>
      </c>
      <c r="J114" s="11" t="n">
        <v>97.1</v>
      </c>
      <c r="K114" s="4" t="n">
        <v>1515</v>
      </c>
      <c r="L114" s="8" t="n">
        <v>1</v>
      </c>
      <c r="M114" s="11" t="n">
        <v>93.9</v>
      </c>
      <c r="N114" s="4" t="n">
        <v>928</v>
      </c>
      <c r="O114" s="8" t="n">
        <v>1</v>
      </c>
      <c r="P114" s="4" t="n">
        <f aca="false">H114+K114+N114</f>
        <v>3408</v>
      </c>
      <c r="Q114" s="4" t="n">
        <f aca="false">Q113+P114</f>
        <v>176544</v>
      </c>
      <c r="R114" s="4" t="n">
        <f aca="false">Q114-MAX(0,MAX($Q$2:Q114))</f>
        <v>-5458</v>
      </c>
    </row>
    <row r="115" customFormat="false" ht="15" hidden="false" customHeight="false" outlineLevel="0" collapsed="false">
      <c r="A115" s="7" t="n">
        <v>44042</v>
      </c>
      <c r="B115" s="8" t="n">
        <f aca="false">YEAR(A115)</f>
        <v>2020</v>
      </c>
      <c r="C115" s="8" t="n">
        <f aca="false">MONTH(A115)</f>
        <v>7</v>
      </c>
      <c r="D115" s="8" t="s">
        <v>36</v>
      </c>
      <c r="E115" s="9" t="n">
        <v>11254.3</v>
      </c>
      <c r="F115" s="10" t="n">
        <v>24.11</v>
      </c>
      <c r="G115" s="11" t="n">
        <v>89.2</v>
      </c>
      <c r="H115" s="4" t="n">
        <v>-2051</v>
      </c>
      <c r="I115" s="8" t="n">
        <v>2</v>
      </c>
      <c r="J115" s="11" t="n">
        <v>87</v>
      </c>
      <c r="K115" s="4" t="n">
        <v>-2004</v>
      </c>
      <c r="L115" s="8" t="n">
        <v>2</v>
      </c>
      <c r="M115" s="11" t="n">
        <v>82.1</v>
      </c>
      <c r="N115" s="4" t="n">
        <v>1067</v>
      </c>
      <c r="O115" s="8" t="n">
        <v>1</v>
      </c>
      <c r="P115" s="4" t="n">
        <f aca="false">H115+K115+N115</f>
        <v>-2988</v>
      </c>
      <c r="Q115" s="4" t="n">
        <f aca="false">Q114+P115</f>
        <v>173556</v>
      </c>
      <c r="R115" s="4" t="n">
        <f aca="false">Q115-MAX(0,MAX($Q$2:Q115))</f>
        <v>-8446</v>
      </c>
    </row>
    <row r="116" customFormat="false" ht="15" hidden="false" customHeight="false" outlineLevel="0" collapsed="false">
      <c r="A116" s="7" t="n">
        <v>44049</v>
      </c>
      <c r="B116" s="8" t="n">
        <f aca="false">YEAR(A116)</f>
        <v>2020</v>
      </c>
      <c r="C116" s="8" t="n">
        <f aca="false">MONTH(A116)</f>
        <v>8</v>
      </c>
      <c r="D116" s="8" t="s">
        <v>36</v>
      </c>
      <c r="E116" s="9" t="n">
        <v>11185.7</v>
      </c>
      <c r="F116" s="10" t="n">
        <v>23.57</v>
      </c>
      <c r="G116" s="11" t="n">
        <v>104.5</v>
      </c>
      <c r="H116" s="4" t="n">
        <v>1293</v>
      </c>
      <c r="I116" s="8" t="n">
        <v>1</v>
      </c>
      <c r="J116" s="11" t="n">
        <v>100.7</v>
      </c>
      <c r="K116" s="4" t="n">
        <v>1572</v>
      </c>
      <c r="L116" s="8" t="n">
        <v>1</v>
      </c>
      <c r="M116" s="11" t="n">
        <v>96.7</v>
      </c>
      <c r="N116" s="4" t="n">
        <v>-2205</v>
      </c>
      <c r="O116" s="8" t="n">
        <v>2</v>
      </c>
      <c r="P116" s="4" t="n">
        <f aca="false">H116+K116+N116</f>
        <v>660</v>
      </c>
      <c r="Q116" s="4" t="n">
        <f aca="false">Q115+P116</f>
        <v>174216</v>
      </c>
      <c r="R116" s="4" t="n">
        <f aca="false">Q116-MAX(0,MAX($Q$2:Q116))</f>
        <v>-7786</v>
      </c>
    </row>
    <row r="117" customFormat="false" ht="15" hidden="false" customHeight="false" outlineLevel="0" collapsed="false">
      <c r="A117" s="7" t="n">
        <v>44056</v>
      </c>
      <c r="B117" s="8" t="n">
        <f aca="false">YEAR(A117)</f>
        <v>2020</v>
      </c>
      <c r="C117" s="8" t="n">
        <f aca="false">MONTH(A117)</f>
        <v>8</v>
      </c>
      <c r="D117" s="8" t="s">
        <v>36</v>
      </c>
      <c r="E117" s="9" t="n">
        <v>11334.8</v>
      </c>
      <c r="F117" s="10" t="n">
        <v>20.85</v>
      </c>
      <c r="G117" s="11" t="n">
        <v>54</v>
      </c>
      <c r="H117" s="4" t="n">
        <v>1339</v>
      </c>
      <c r="I117" s="8" t="n">
        <v>1</v>
      </c>
      <c r="J117" s="11" t="n">
        <v>52</v>
      </c>
      <c r="K117" s="4" t="n">
        <v>838</v>
      </c>
      <c r="L117" s="8" t="n">
        <v>1</v>
      </c>
      <c r="M117" s="11" t="n">
        <v>49.5</v>
      </c>
      <c r="N117" s="4" t="n">
        <v>903</v>
      </c>
      <c r="O117" s="8" t="n">
        <v>1</v>
      </c>
      <c r="P117" s="4" t="n">
        <f aca="false">H117+K117+N117</f>
        <v>3080</v>
      </c>
      <c r="Q117" s="4" t="n">
        <f aca="false">Q116+P117</f>
        <v>177296</v>
      </c>
      <c r="R117" s="4" t="n">
        <f aca="false">Q117-MAX(0,MAX($Q$2:Q117))</f>
        <v>-4706</v>
      </c>
    </row>
    <row r="118" customFormat="false" ht="15" hidden="false" customHeight="false" outlineLevel="0" collapsed="false">
      <c r="A118" s="7" t="n">
        <v>44063</v>
      </c>
      <c r="B118" s="8" t="n">
        <f aca="false">YEAR(A118)</f>
        <v>2020</v>
      </c>
      <c r="C118" s="8" t="n">
        <f aca="false">MONTH(A118)</f>
        <v>8</v>
      </c>
      <c r="D118" s="8" t="s">
        <v>36</v>
      </c>
      <c r="E118" s="9" t="n">
        <v>11317.4</v>
      </c>
      <c r="F118" s="10" t="n">
        <v>19.96</v>
      </c>
      <c r="G118" s="11" t="n">
        <v>68.2</v>
      </c>
      <c r="H118" s="4" t="n">
        <v>810</v>
      </c>
      <c r="I118" s="8" t="n">
        <v>1</v>
      </c>
      <c r="J118" s="11" t="n">
        <v>67.4</v>
      </c>
      <c r="K118" s="4" t="n">
        <v>-1603</v>
      </c>
      <c r="L118" s="8" t="n">
        <v>2</v>
      </c>
      <c r="M118" s="11" t="n">
        <v>62.6</v>
      </c>
      <c r="N118" s="4" t="n">
        <v>1161</v>
      </c>
      <c r="O118" s="8" t="n">
        <v>1</v>
      </c>
      <c r="P118" s="4" t="n">
        <f aca="false">H118+K118+N118</f>
        <v>368</v>
      </c>
      <c r="Q118" s="4" t="n">
        <f aca="false">Q117+P118</f>
        <v>177664</v>
      </c>
      <c r="R118" s="4" t="n">
        <f aca="false">Q118-MAX(0,MAX($Q$2:Q118))</f>
        <v>-4338</v>
      </c>
    </row>
    <row r="119" customFormat="false" ht="15" hidden="false" customHeight="false" outlineLevel="0" collapsed="false">
      <c r="A119" s="7" t="n">
        <v>44070</v>
      </c>
      <c r="B119" s="8" t="n">
        <f aca="false">YEAR(A119)</f>
        <v>2020</v>
      </c>
      <c r="C119" s="8" t="n">
        <f aca="false">MONTH(A119)</f>
        <v>8</v>
      </c>
      <c r="D119" s="8" t="s">
        <v>36</v>
      </c>
      <c r="E119" s="9" t="n">
        <v>11609.3</v>
      </c>
      <c r="F119" s="10" t="n">
        <v>19.3</v>
      </c>
      <c r="G119" s="11" t="n">
        <v>79.2</v>
      </c>
      <c r="H119" s="4" t="n">
        <v>1301</v>
      </c>
      <c r="I119" s="8" t="n">
        <v>1</v>
      </c>
      <c r="J119" s="11" t="n">
        <v>77</v>
      </c>
      <c r="K119" s="4" t="n">
        <v>1091</v>
      </c>
      <c r="L119" s="8" t="n">
        <v>1</v>
      </c>
      <c r="M119" s="11" t="n">
        <v>73.1</v>
      </c>
      <c r="N119" s="4" t="n">
        <v>1371</v>
      </c>
      <c r="O119" s="8" t="n">
        <v>1</v>
      </c>
      <c r="P119" s="4" t="n">
        <f aca="false">H119+K119+N119</f>
        <v>3763</v>
      </c>
      <c r="Q119" s="4" t="n">
        <f aca="false">Q118+P119</f>
        <v>181427</v>
      </c>
      <c r="R119" s="4" t="n">
        <f aca="false">Q119-MAX(0,MAX($Q$2:Q119))</f>
        <v>-575</v>
      </c>
    </row>
    <row r="120" customFormat="false" ht="15" hidden="false" customHeight="false" outlineLevel="0" collapsed="false">
      <c r="A120" s="7" t="n">
        <v>44077</v>
      </c>
      <c r="B120" s="8" t="n">
        <f aca="false">YEAR(A120)</f>
        <v>2020</v>
      </c>
      <c r="C120" s="8" t="n">
        <f aca="false">MONTH(A120)</f>
        <v>9</v>
      </c>
      <c r="D120" s="8" t="s">
        <v>36</v>
      </c>
      <c r="E120" s="9" t="n">
        <v>11566.2</v>
      </c>
      <c r="F120" s="10" t="n">
        <v>21.11</v>
      </c>
      <c r="G120" s="11" t="n">
        <v>82.9</v>
      </c>
      <c r="H120" s="4" t="n">
        <v>1880</v>
      </c>
      <c r="I120" s="8" t="n">
        <v>1</v>
      </c>
      <c r="J120" s="11" t="n">
        <v>80.7</v>
      </c>
      <c r="K120" s="4" t="n">
        <v>1928</v>
      </c>
      <c r="L120" s="8" t="n">
        <v>1</v>
      </c>
      <c r="M120" s="11" t="n">
        <v>76.7</v>
      </c>
      <c r="N120" s="4" t="n">
        <v>1709</v>
      </c>
      <c r="O120" s="8" t="n">
        <v>1</v>
      </c>
      <c r="P120" s="4" t="n">
        <f aca="false">H120+K120+N120</f>
        <v>5517</v>
      </c>
      <c r="Q120" s="4" t="n">
        <f aca="false">Q119+P120</f>
        <v>186944</v>
      </c>
      <c r="R120" s="4" t="n">
        <f aca="false">Q120-MAX(0,MAX($Q$2:Q120))</f>
        <v>0</v>
      </c>
    </row>
    <row r="121" customFormat="false" ht="15" hidden="false" customHeight="false" outlineLevel="0" collapsed="false">
      <c r="A121" s="7" t="n">
        <v>44084</v>
      </c>
      <c r="B121" s="8" t="n">
        <f aca="false">YEAR(A121)</f>
        <v>2020</v>
      </c>
      <c r="C121" s="8" t="n">
        <f aca="false">MONTH(A121)</f>
        <v>9</v>
      </c>
      <c r="D121" s="8" t="s">
        <v>36</v>
      </c>
      <c r="E121" s="9" t="n">
        <v>11363.3</v>
      </c>
      <c r="F121" s="10" t="n">
        <v>22.23</v>
      </c>
      <c r="G121" s="11" t="n">
        <v>63.1</v>
      </c>
      <c r="H121" s="4" t="n">
        <v>962</v>
      </c>
      <c r="I121" s="8" t="n">
        <v>1</v>
      </c>
      <c r="J121" s="11" t="n">
        <v>61.4</v>
      </c>
      <c r="K121" s="4" t="n">
        <v>804</v>
      </c>
      <c r="L121" s="8" t="n">
        <v>1</v>
      </c>
      <c r="M121" s="11" t="n">
        <v>61.5</v>
      </c>
      <c r="N121" s="4" t="n">
        <v>95</v>
      </c>
      <c r="O121" s="8" t="n">
        <v>1</v>
      </c>
      <c r="P121" s="4" t="n">
        <f aca="false">H121+K121+N121</f>
        <v>1861</v>
      </c>
      <c r="Q121" s="4" t="n">
        <f aca="false">Q120+P121</f>
        <v>188805</v>
      </c>
      <c r="R121" s="4" t="n">
        <f aca="false">Q121-MAX(0,MAX($Q$2:Q121))</f>
        <v>0</v>
      </c>
    </row>
    <row r="122" customFormat="false" ht="15" hidden="false" customHeight="false" outlineLevel="0" collapsed="false">
      <c r="A122" s="7" t="n">
        <v>44091</v>
      </c>
      <c r="B122" s="8" t="n">
        <f aca="false">YEAR(A122)</f>
        <v>2020</v>
      </c>
      <c r="C122" s="8" t="n">
        <f aca="false">MONTH(A122)</f>
        <v>9</v>
      </c>
      <c r="D122" s="8" t="s">
        <v>36</v>
      </c>
      <c r="E122" s="9" t="n">
        <v>11539.4</v>
      </c>
      <c r="F122" s="10" t="n">
        <v>19.66</v>
      </c>
      <c r="G122" s="11" t="n">
        <v>70</v>
      </c>
      <c r="H122" s="4" t="n">
        <v>2315</v>
      </c>
      <c r="I122" s="8" t="n">
        <v>1</v>
      </c>
      <c r="J122" s="11" t="n">
        <v>67.1</v>
      </c>
      <c r="K122" s="4" t="n">
        <v>2062</v>
      </c>
      <c r="L122" s="8" t="n">
        <v>1</v>
      </c>
      <c r="M122" s="11" t="n">
        <v>65</v>
      </c>
      <c r="N122" s="4" t="n">
        <v>253</v>
      </c>
      <c r="O122" s="8" t="n">
        <v>1</v>
      </c>
      <c r="P122" s="4" t="n">
        <f aca="false">H122+K122+N122</f>
        <v>4630</v>
      </c>
      <c r="Q122" s="4" t="n">
        <f aca="false">Q121+P122</f>
        <v>193435</v>
      </c>
      <c r="R122" s="4" t="n">
        <f aca="false">Q122-MAX(0,MAX($Q$2:Q122))</f>
        <v>0</v>
      </c>
    </row>
    <row r="123" customFormat="false" ht="15" hidden="false" customHeight="false" outlineLevel="0" collapsed="false">
      <c r="A123" s="7" t="n">
        <v>44098</v>
      </c>
      <c r="B123" s="8" t="n">
        <f aca="false">YEAR(A123)</f>
        <v>2020</v>
      </c>
      <c r="C123" s="8" t="n">
        <f aca="false">MONTH(A123)</f>
        <v>9</v>
      </c>
      <c r="D123" s="8" t="s">
        <v>36</v>
      </c>
      <c r="E123" s="9" t="n">
        <v>11011</v>
      </c>
      <c r="F123" s="10" t="n">
        <v>20.99</v>
      </c>
      <c r="G123" s="11" t="n">
        <v>83.1</v>
      </c>
      <c r="H123" s="4" t="n">
        <v>1574</v>
      </c>
      <c r="I123" s="8" t="n">
        <v>1</v>
      </c>
      <c r="J123" s="11" t="n">
        <v>82.7</v>
      </c>
      <c r="K123" s="4" t="n">
        <v>2639</v>
      </c>
      <c r="L123" s="8" t="n">
        <v>1</v>
      </c>
      <c r="M123" s="11" t="n">
        <v>76.6</v>
      </c>
      <c r="N123" s="4" t="n">
        <v>1211</v>
      </c>
      <c r="O123" s="8" t="n">
        <v>1</v>
      </c>
      <c r="P123" s="4" t="n">
        <f aca="false">H123+K123+N123</f>
        <v>5424</v>
      </c>
      <c r="Q123" s="4" t="n">
        <f aca="false">Q122+P123</f>
        <v>198859</v>
      </c>
      <c r="R123" s="4" t="n">
        <f aca="false">Q123-MAX(0,MAX($Q$2:Q123))</f>
        <v>0</v>
      </c>
    </row>
    <row r="124" customFormat="false" ht="15" hidden="false" customHeight="false" outlineLevel="0" collapsed="false">
      <c r="A124" s="7" t="n">
        <v>44105</v>
      </c>
      <c r="B124" s="8" t="n">
        <f aca="false">YEAR(A124)</f>
        <v>2020</v>
      </c>
      <c r="C124" s="8" t="n">
        <f aca="false">MONTH(A124)</f>
        <v>10</v>
      </c>
      <c r="D124" s="8" t="s">
        <v>36</v>
      </c>
      <c r="E124" s="9" t="n">
        <v>11364.4</v>
      </c>
      <c r="F124" s="10" t="n">
        <v>19.53</v>
      </c>
      <c r="G124" s="11" t="n">
        <v>61.7</v>
      </c>
      <c r="H124" s="4" t="n">
        <v>31</v>
      </c>
      <c r="I124" s="8" t="n">
        <v>1</v>
      </c>
      <c r="J124" s="11" t="n">
        <v>56.6</v>
      </c>
      <c r="K124" s="4" t="n">
        <v>1245</v>
      </c>
      <c r="L124" s="8" t="n">
        <v>1</v>
      </c>
      <c r="M124" s="11" t="n">
        <v>54.6</v>
      </c>
      <c r="N124" s="4" t="n">
        <v>1457</v>
      </c>
      <c r="O124" s="8" t="n">
        <v>1</v>
      </c>
      <c r="P124" s="4" t="n">
        <f aca="false">H124+K124+N124</f>
        <v>2733</v>
      </c>
      <c r="Q124" s="4" t="n">
        <f aca="false">Q123+P124</f>
        <v>201592</v>
      </c>
      <c r="R124" s="4" t="n">
        <f aca="false">Q124-MAX(0,MAX($Q$2:Q124))</f>
        <v>0</v>
      </c>
    </row>
    <row r="125" customFormat="false" ht="15" hidden="false" customHeight="false" outlineLevel="0" collapsed="false">
      <c r="A125" s="7" t="n">
        <v>44112</v>
      </c>
      <c r="B125" s="8" t="n">
        <f aca="false">YEAR(A125)</f>
        <v>2020</v>
      </c>
      <c r="C125" s="8" t="n">
        <f aca="false">MONTH(A125)</f>
        <v>10</v>
      </c>
      <c r="D125" s="8" t="s">
        <v>36</v>
      </c>
      <c r="E125" s="9" t="n">
        <v>11835.4</v>
      </c>
      <c r="F125" s="10" t="n">
        <v>20.06</v>
      </c>
      <c r="G125" s="11" t="n">
        <v>84.7</v>
      </c>
      <c r="H125" s="4" t="n">
        <v>2641</v>
      </c>
      <c r="I125" s="8" t="n">
        <v>1</v>
      </c>
      <c r="J125" s="11" t="n">
        <v>81.1</v>
      </c>
      <c r="K125" s="4" t="n">
        <v>2276</v>
      </c>
      <c r="L125" s="8" t="n">
        <v>1</v>
      </c>
      <c r="M125" s="11" t="n">
        <v>77.5</v>
      </c>
      <c r="N125" s="4" t="n">
        <v>2216</v>
      </c>
      <c r="O125" s="8" t="n">
        <v>1</v>
      </c>
      <c r="P125" s="4" t="n">
        <f aca="false">H125+K125+N125</f>
        <v>7133</v>
      </c>
      <c r="Q125" s="4" t="n">
        <f aca="false">Q124+P125</f>
        <v>208725</v>
      </c>
      <c r="R125" s="4" t="n">
        <f aca="false">Q125-MAX(0,MAX($Q$2:Q125))</f>
        <v>0</v>
      </c>
    </row>
    <row r="126" customFormat="false" ht="15" hidden="false" customHeight="false" outlineLevel="0" collapsed="false">
      <c r="A126" s="7" t="n">
        <v>44119</v>
      </c>
      <c r="B126" s="8" t="n">
        <f aca="false">YEAR(A126)</f>
        <v>2020</v>
      </c>
      <c r="C126" s="8" t="n">
        <f aca="false">MONTH(A126)</f>
        <v>10</v>
      </c>
      <c r="D126" s="8" t="s">
        <v>36</v>
      </c>
      <c r="E126" s="9" t="n">
        <v>12023.4</v>
      </c>
      <c r="F126" s="10" t="n">
        <v>20.21</v>
      </c>
      <c r="G126" s="11" t="n">
        <v>95.3</v>
      </c>
      <c r="H126" s="4" t="n">
        <v>-2176</v>
      </c>
      <c r="I126" s="8" t="n">
        <v>2</v>
      </c>
      <c r="J126" s="11" t="n">
        <v>93.1</v>
      </c>
      <c r="K126" s="4" t="n">
        <v>2430</v>
      </c>
      <c r="L126" s="8" t="n">
        <v>1</v>
      </c>
      <c r="M126" s="11" t="n">
        <v>88.1</v>
      </c>
      <c r="N126" s="4" t="n">
        <v>1504</v>
      </c>
      <c r="O126" s="8" t="n">
        <v>1</v>
      </c>
      <c r="P126" s="4" t="n">
        <f aca="false">H126+K126+N126</f>
        <v>1758</v>
      </c>
      <c r="Q126" s="4" t="n">
        <f aca="false">Q125+P126</f>
        <v>210483</v>
      </c>
      <c r="R126" s="4" t="n">
        <f aca="false">Q126-MAX(0,MAX($Q$2:Q126))</f>
        <v>0</v>
      </c>
    </row>
    <row r="127" customFormat="false" ht="15" hidden="false" customHeight="false" outlineLevel="0" collapsed="false">
      <c r="A127" s="7" t="n">
        <v>44126</v>
      </c>
      <c r="B127" s="8" t="n">
        <f aca="false">YEAR(A127)</f>
        <v>2020</v>
      </c>
      <c r="C127" s="8" t="n">
        <f aca="false">MONTH(A127)</f>
        <v>10</v>
      </c>
      <c r="D127" s="8" t="s">
        <v>36</v>
      </c>
      <c r="E127" s="9" t="n">
        <v>11890</v>
      </c>
      <c r="F127" s="10" t="n">
        <v>22.92</v>
      </c>
      <c r="G127" s="11" t="n">
        <v>89</v>
      </c>
      <c r="H127" s="4" t="n">
        <v>-2046</v>
      </c>
      <c r="I127" s="8" t="n">
        <v>2</v>
      </c>
      <c r="J127" s="11" t="n">
        <v>87.7</v>
      </c>
      <c r="K127" s="4" t="n">
        <v>2015</v>
      </c>
      <c r="L127" s="8" t="n">
        <v>1</v>
      </c>
      <c r="M127" s="11" t="n">
        <v>83</v>
      </c>
      <c r="N127" s="4" t="n">
        <v>-1924</v>
      </c>
      <c r="O127" s="8" t="n">
        <v>2</v>
      </c>
      <c r="P127" s="4" t="n">
        <f aca="false">H127+K127+N127</f>
        <v>-1955</v>
      </c>
      <c r="Q127" s="4" t="n">
        <f aca="false">Q126+P127</f>
        <v>208528</v>
      </c>
      <c r="R127" s="4" t="n">
        <f aca="false">Q127-MAX(0,MAX($Q$2:Q127))</f>
        <v>-1955</v>
      </c>
    </row>
    <row r="128" customFormat="false" ht="15" hidden="false" customHeight="false" outlineLevel="0" collapsed="false">
      <c r="A128" s="7" t="n">
        <v>44133</v>
      </c>
      <c r="B128" s="8" t="n">
        <f aca="false">YEAR(A128)</f>
        <v>2020</v>
      </c>
      <c r="C128" s="8" t="n">
        <f aca="false">MONTH(A128)</f>
        <v>10</v>
      </c>
      <c r="D128" s="8" t="s">
        <v>36</v>
      </c>
      <c r="E128" s="9" t="n">
        <v>11633.3</v>
      </c>
      <c r="F128" s="10" t="n">
        <v>23.28</v>
      </c>
      <c r="G128" s="11" t="n">
        <v>113.2</v>
      </c>
      <c r="H128" s="4" t="n">
        <v>1482</v>
      </c>
      <c r="I128" s="8" t="n">
        <v>1</v>
      </c>
      <c r="J128" s="11" t="n">
        <v>109.7</v>
      </c>
      <c r="K128" s="4" t="n">
        <v>-2470</v>
      </c>
      <c r="L128" s="8" t="n">
        <v>2</v>
      </c>
      <c r="M128" s="11" t="n">
        <v>104.9</v>
      </c>
      <c r="N128" s="4" t="n">
        <v>1274</v>
      </c>
      <c r="O128" s="8" t="n">
        <v>1</v>
      </c>
      <c r="P128" s="4" t="n">
        <f aca="false">H128+K128+N128</f>
        <v>286</v>
      </c>
      <c r="Q128" s="4" t="n">
        <f aca="false">Q127+P128</f>
        <v>208814</v>
      </c>
      <c r="R128" s="4" t="n">
        <f aca="false">Q128-MAX(0,MAX($Q$2:Q128))</f>
        <v>-1669</v>
      </c>
    </row>
    <row r="129" customFormat="false" ht="15" hidden="false" customHeight="false" outlineLevel="0" collapsed="false">
      <c r="A129" s="7" t="n">
        <v>44140</v>
      </c>
      <c r="B129" s="8" t="n">
        <f aca="false">YEAR(A129)</f>
        <v>2020</v>
      </c>
      <c r="C129" s="8" t="n">
        <f aca="false">MONTH(A129)</f>
        <v>11</v>
      </c>
      <c r="D129" s="8" t="s">
        <v>36</v>
      </c>
      <c r="E129" s="9" t="n">
        <v>12062.4</v>
      </c>
      <c r="F129" s="10" t="n">
        <v>23.2</v>
      </c>
      <c r="G129" s="11" t="n">
        <v>101.2</v>
      </c>
      <c r="H129" s="4" t="n">
        <v>1390</v>
      </c>
      <c r="I129" s="8" t="n">
        <v>1</v>
      </c>
      <c r="J129" s="11" t="n">
        <v>99.1</v>
      </c>
      <c r="K129" s="4" t="n">
        <v>1501</v>
      </c>
      <c r="L129" s="8" t="n">
        <v>0</v>
      </c>
      <c r="M129" s="11" t="n">
        <v>94.3</v>
      </c>
      <c r="N129" s="4" t="n">
        <v>1006</v>
      </c>
      <c r="O129" s="8" t="n">
        <v>1</v>
      </c>
      <c r="P129" s="4" t="n">
        <f aca="false">H129+K129+N129</f>
        <v>3897</v>
      </c>
      <c r="Q129" s="4" t="n">
        <f aca="false">Q128+P129</f>
        <v>212711</v>
      </c>
      <c r="R129" s="4" t="n">
        <f aca="false">Q129-MAX(0,MAX($Q$2:Q129))</f>
        <v>0</v>
      </c>
    </row>
    <row r="130" customFormat="false" ht="15" hidden="false" customHeight="false" outlineLevel="0" collapsed="false">
      <c r="A130" s="7" t="n">
        <v>44147</v>
      </c>
      <c r="B130" s="8" t="n">
        <f aca="false">YEAR(A130)</f>
        <v>2020</v>
      </c>
      <c r="C130" s="8" t="n">
        <f aca="false">MONTH(A130)</f>
        <v>11</v>
      </c>
      <c r="D130" s="8" t="s">
        <v>36</v>
      </c>
      <c r="E130" s="9" t="n">
        <v>12702.2</v>
      </c>
      <c r="F130" s="10" t="n">
        <v>22.03</v>
      </c>
      <c r="G130" s="11" t="n">
        <v>114.8</v>
      </c>
      <c r="H130" s="4" t="n">
        <v>5635</v>
      </c>
      <c r="I130" s="8" t="n">
        <v>0</v>
      </c>
      <c r="J130" s="11" t="n">
        <v>111</v>
      </c>
      <c r="K130" s="4" t="n">
        <v>1696</v>
      </c>
      <c r="L130" s="8" t="n">
        <v>1</v>
      </c>
      <c r="M130" s="11" t="n">
        <v>106.4</v>
      </c>
      <c r="N130" s="4" t="n">
        <v>1297</v>
      </c>
      <c r="O130" s="8" t="n">
        <v>1</v>
      </c>
      <c r="P130" s="4" t="n">
        <f aca="false">H130+K130+N130</f>
        <v>8628</v>
      </c>
      <c r="Q130" s="4" t="n">
        <f aca="false">Q129+P130</f>
        <v>221339</v>
      </c>
      <c r="R130" s="4" t="n">
        <f aca="false">Q130-MAX(0,MAX($Q$2:Q130))</f>
        <v>0</v>
      </c>
    </row>
    <row r="131" customFormat="false" ht="15" hidden="false" customHeight="false" outlineLevel="0" collapsed="false">
      <c r="A131" s="7" t="n">
        <v>44154</v>
      </c>
      <c r="B131" s="8" t="n">
        <f aca="false">YEAR(A131)</f>
        <v>2020</v>
      </c>
      <c r="C131" s="8" t="n">
        <f aca="false">MONTH(A131)</f>
        <v>11</v>
      </c>
      <c r="D131" s="8" t="s">
        <v>36</v>
      </c>
      <c r="E131" s="9" t="n">
        <v>12839.5</v>
      </c>
      <c r="F131" s="10" t="n">
        <v>19.12</v>
      </c>
      <c r="G131" s="11" t="n">
        <v>77.1</v>
      </c>
      <c r="H131" s="4" t="n">
        <v>1397</v>
      </c>
      <c r="I131" s="8" t="n">
        <v>1</v>
      </c>
      <c r="J131" s="11" t="n">
        <v>75</v>
      </c>
      <c r="K131" s="4" t="n">
        <v>1122</v>
      </c>
      <c r="L131" s="8" t="n">
        <v>1</v>
      </c>
      <c r="M131" s="11" t="n">
        <v>71.3</v>
      </c>
      <c r="N131" s="4" t="n">
        <v>1494</v>
      </c>
      <c r="O131" s="8" t="n">
        <v>1</v>
      </c>
      <c r="P131" s="4" t="n">
        <f aca="false">H131+K131+N131</f>
        <v>4013</v>
      </c>
      <c r="Q131" s="4" t="n">
        <f aca="false">Q130+P131</f>
        <v>225352</v>
      </c>
      <c r="R131" s="4" t="n">
        <f aca="false">Q131-MAX(0,MAX($Q$2:Q131))</f>
        <v>0</v>
      </c>
    </row>
    <row r="132" customFormat="false" ht="15" hidden="false" customHeight="false" outlineLevel="0" collapsed="false">
      <c r="A132" s="7" t="n">
        <v>44161</v>
      </c>
      <c r="B132" s="8" t="n">
        <f aca="false">YEAR(A132)</f>
        <v>2020</v>
      </c>
      <c r="C132" s="8" t="n">
        <f aca="false">MONTH(A132)</f>
        <v>11</v>
      </c>
      <c r="D132" s="8" t="s">
        <v>36</v>
      </c>
      <c r="E132" s="9" t="n">
        <v>12906.4</v>
      </c>
      <c r="F132" s="10" t="n">
        <v>23.13</v>
      </c>
      <c r="G132" s="11" t="n">
        <v>104.8</v>
      </c>
      <c r="H132" s="4" t="n">
        <v>-2370</v>
      </c>
      <c r="I132" s="8" t="n">
        <v>2</v>
      </c>
      <c r="J132" s="11" t="n">
        <v>103</v>
      </c>
      <c r="K132" s="4" t="n">
        <v>2979</v>
      </c>
      <c r="L132" s="8" t="n">
        <v>1</v>
      </c>
      <c r="M132" s="11" t="n">
        <v>97</v>
      </c>
      <c r="N132" s="4" t="n">
        <v>-2210</v>
      </c>
      <c r="O132" s="8" t="n">
        <v>2</v>
      </c>
      <c r="P132" s="4" t="n">
        <f aca="false">H132+K132+N132</f>
        <v>-1601</v>
      </c>
      <c r="Q132" s="4" t="n">
        <f aca="false">Q131+P132</f>
        <v>223751</v>
      </c>
      <c r="R132" s="4" t="n">
        <f aca="false">Q132-MAX(0,MAX($Q$2:Q132))</f>
        <v>-1601</v>
      </c>
    </row>
    <row r="133" customFormat="false" ht="15" hidden="false" customHeight="false" outlineLevel="0" collapsed="false">
      <c r="A133" s="7" t="n">
        <v>44168</v>
      </c>
      <c r="B133" s="8" t="n">
        <f aca="false">YEAR(A133)</f>
        <v>2020</v>
      </c>
      <c r="C133" s="8" t="n">
        <f aca="false">MONTH(A133)</f>
        <v>12</v>
      </c>
      <c r="D133" s="8" t="s">
        <v>36</v>
      </c>
      <c r="E133" s="9" t="n">
        <v>13215.3</v>
      </c>
      <c r="F133" s="10" t="n">
        <v>19.91</v>
      </c>
      <c r="G133" s="11" t="n">
        <v>70.8</v>
      </c>
      <c r="H133" s="4" t="n">
        <v>-1674</v>
      </c>
      <c r="I133" s="8" t="n">
        <v>2</v>
      </c>
      <c r="J133" s="11" t="n">
        <v>69.3</v>
      </c>
      <c r="K133" s="4" t="n">
        <v>-1644</v>
      </c>
      <c r="L133" s="8" t="n">
        <v>2</v>
      </c>
      <c r="M133" s="11" t="n">
        <v>68.2</v>
      </c>
      <c r="N133" s="4" t="n">
        <v>2155</v>
      </c>
      <c r="O133" s="8" t="n">
        <v>1</v>
      </c>
      <c r="P133" s="4" t="n">
        <f aca="false">H133+K133+N133</f>
        <v>-1163</v>
      </c>
      <c r="Q133" s="4" t="n">
        <f aca="false">Q132+P133</f>
        <v>222588</v>
      </c>
      <c r="R133" s="4" t="n">
        <f aca="false">Q133-MAX(0,MAX($Q$2:Q133))</f>
        <v>-2764</v>
      </c>
    </row>
    <row r="134" customFormat="false" ht="15" hidden="false" customHeight="false" outlineLevel="0" collapsed="false">
      <c r="A134" s="7" t="n">
        <v>44175</v>
      </c>
      <c r="B134" s="8" t="n">
        <f aca="false">YEAR(A134)</f>
        <v>2020</v>
      </c>
      <c r="C134" s="8" t="n">
        <f aca="false">MONTH(A134)</f>
        <v>12</v>
      </c>
      <c r="D134" s="8" t="s">
        <v>36</v>
      </c>
      <c r="E134" s="9" t="n">
        <v>13488.5</v>
      </c>
      <c r="F134" s="10" t="n">
        <v>18.92</v>
      </c>
      <c r="G134" s="11" t="n">
        <v>91.1</v>
      </c>
      <c r="H134" s="4" t="n">
        <v>2523</v>
      </c>
      <c r="I134" s="8" t="n">
        <v>1</v>
      </c>
      <c r="J134" s="11" t="n">
        <v>87.5</v>
      </c>
      <c r="K134" s="4" t="n">
        <v>1101</v>
      </c>
      <c r="L134" s="8" t="n">
        <v>1</v>
      </c>
      <c r="M134" s="11" t="n">
        <v>84.2</v>
      </c>
      <c r="N134" s="4" t="n">
        <v>799</v>
      </c>
      <c r="O134" s="8" t="n">
        <v>1</v>
      </c>
      <c r="P134" s="4" t="n">
        <f aca="false">H134+K134+N134</f>
        <v>4423</v>
      </c>
      <c r="Q134" s="4" t="n">
        <f aca="false">Q133+P134</f>
        <v>227011</v>
      </c>
      <c r="R134" s="4" t="n">
        <f aca="false">Q134-MAX(0,MAX($Q$2:Q134))</f>
        <v>0</v>
      </c>
    </row>
    <row r="135" customFormat="false" ht="15" hidden="false" customHeight="false" outlineLevel="0" collapsed="false">
      <c r="A135" s="7" t="n">
        <v>44182</v>
      </c>
      <c r="B135" s="8" t="n">
        <f aca="false">YEAR(A135)</f>
        <v>2020</v>
      </c>
      <c r="C135" s="8" t="n">
        <f aca="false">MONTH(A135)</f>
        <v>12</v>
      </c>
      <c r="D135" s="8" t="s">
        <v>36</v>
      </c>
      <c r="E135" s="9" t="n">
        <v>13713.6</v>
      </c>
      <c r="F135" s="10" t="n">
        <v>19.2</v>
      </c>
      <c r="G135" s="11" t="n">
        <v>97.6</v>
      </c>
      <c r="H135" s="4" t="n">
        <v>1403</v>
      </c>
      <c r="I135" s="8" t="n">
        <v>1</v>
      </c>
      <c r="J135" s="11" t="n">
        <v>95.6</v>
      </c>
      <c r="K135" s="4" t="n">
        <v>1020</v>
      </c>
      <c r="L135" s="8" t="n">
        <v>1</v>
      </c>
      <c r="M135" s="11" t="n">
        <v>91.2</v>
      </c>
      <c r="N135" s="4" t="n">
        <v>939</v>
      </c>
      <c r="O135" s="8" t="n">
        <v>1</v>
      </c>
      <c r="P135" s="4" t="n">
        <f aca="false">H135+K135+N135</f>
        <v>3362</v>
      </c>
      <c r="Q135" s="4" t="n">
        <f aca="false">Q134+P135</f>
        <v>230373</v>
      </c>
      <c r="R135" s="4" t="n">
        <f aca="false">Q135-MAX(0,MAX($Q$2:Q135))</f>
        <v>0</v>
      </c>
    </row>
    <row r="136" customFormat="false" ht="15" hidden="false" customHeight="false" outlineLevel="0" collapsed="false">
      <c r="A136" s="7" t="n">
        <v>44189</v>
      </c>
      <c r="B136" s="8" t="n">
        <f aca="false">YEAR(A136)</f>
        <v>2020</v>
      </c>
      <c r="C136" s="8" t="n">
        <f aca="false">MONTH(A136)</f>
        <v>12</v>
      </c>
      <c r="D136" s="8" t="s">
        <v>36</v>
      </c>
      <c r="E136" s="9" t="n">
        <v>13672.2</v>
      </c>
      <c r="F136" s="10" t="n">
        <v>20.5</v>
      </c>
      <c r="G136" s="11" t="n">
        <v>65.7</v>
      </c>
      <c r="H136" s="4" t="n">
        <v>-1569</v>
      </c>
      <c r="I136" s="8" t="n">
        <v>2</v>
      </c>
      <c r="J136" s="11" t="n">
        <v>64.6</v>
      </c>
      <c r="K136" s="4" t="n">
        <v>-1547</v>
      </c>
      <c r="L136" s="8" t="n">
        <v>2</v>
      </c>
      <c r="M136" s="11" t="n">
        <v>64.2</v>
      </c>
      <c r="N136" s="4" t="n">
        <v>-1538</v>
      </c>
      <c r="O136" s="8" t="n">
        <v>2</v>
      </c>
      <c r="P136" s="4" t="n">
        <f aca="false">H136+K136+N136</f>
        <v>-4654</v>
      </c>
      <c r="Q136" s="4" t="n">
        <f aca="false">Q135+P136</f>
        <v>225719</v>
      </c>
      <c r="R136" s="4" t="n">
        <f aca="false">Q136-MAX(0,MAX($Q$2:Q136))</f>
        <v>-4654</v>
      </c>
    </row>
    <row r="137" customFormat="false" ht="15" hidden="false" customHeight="false" outlineLevel="0" collapsed="false">
      <c r="A137" s="7" t="n">
        <v>44196</v>
      </c>
      <c r="B137" s="8" t="n">
        <f aca="false">YEAR(A137)</f>
        <v>2020</v>
      </c>
      <c r="C137" s="8" t="n">
        <f aca="false">MONTH(A137)</f>
        <v>12</v>
      </c>
      <c r="D137" s="8" t="s">
        <v>36</v>
      </c>
      <c r="E137" s="9" t="n">
        <v>13970</v>
      </c>
      <c r="F137" s="10" t="n">
        <v>21.11</v>
      </c>
      <c r="G137" s="11" t="n">
        <v>98.6</v>
      </c>
      <c r="H137" s="4" t="n">
        <v>4650</v>
      </c>
      <c r="I137" s="8" t="n">
        <v>0</v>
      </c>
      <c r="J137" s="11" t="n">
        <v>95.9</v>
      </c>
      <c r="K137" s="4" t="n">
        <v>4480</v>
      </c>
      <c r="L137" s="8" t="n">
        <v>0</v>
      </c>
      <c r="M137" s="11" t="n">
        <v>91</v>
      </c>
      <c r="N137" s="4" t="n">
        <v>1624</v>
      </c>
      <c r="O137" s="8" t="n">
        <v>1</v>
      </c>
      <c r="P137" s="4" t="n">
        <f aca="false">H137+K137+N137</f>
        <v>10754</v>
      </c>
      <c r="Q137" s="4" t="n">
        <f aca="false">Q136+P137</f>
        <v>236473</v>
      </c>
      <c r="R137" s="4" t="n">
        <f aca="false">Q137-MAX(0,MAX($Q$2:Q137))</f>
        <v>0</v>
      </c>
    </row>
    <row r="138" customFormat="false" ht="15" hidden="false" customHeight="false" outlineLevel="0" collapsed="false">
      <c r="A138" s="7" t="n">
        <v>44203</v>
      </c>
      <c r="B138" s="8" t="n">
        <f aca="false">YEAR(A138)</f>
        <v>2021</v>
      </c>
      <c r="C138" s="8" t="n">
        <f aca="false">MONTH(A138)</f>
        <v>1</v>
      </c>
      <c r="D138" s="8" t="s">
        <v>36</v>
      </c>
      <c r="E138" s="9" t="n">
        <v>14253.8</v>
      </c>
      <c r="F138" s="10" t="n">
        <v>21</v>
      </c>
      <c r="G138" s="11" t="n">
        <v>102.5</v>
      </c>
      <c r="H138" s="4" t="n">
        <v>2834</v>
      </c>
      <c r="I138" s="8" t="n">
        <v>1</v>
      </c>
      <c r="J138" s="11" t="n">
        <v>98.8</v>
      </c>
      <c r="K138" s="4" t="n">
        <v>2425</v>
      </c>
      <c r="L138" s="8" t="n">
        <v>1</v>
      </c>
      <c r="M138" s="11" t="n">
        <v>94</v>
      </c>
      <c r="N138" s="4" t="n">
        <v>1426</v>
      </c>
      <c r="O138" s="8" t="n">
        <v>1</v>
      </c>
      <c r="P138" s="4" t="n">
        <f aca="false">H138+K138+N138</f>
        <v>6685</v>
      </c>
      <c r="Q138" s="4" t="n">
        <f aca="false">Q137+P138</f>
        <v>243158</v>
      </c>
      <c r="R138" s="4" t="n">
        <f aca="false">Q138-MAX(0,MAX($Q$2:Q138))</f>
        <v>0</v>
      </c>
    </row>
    <row r="139" customFormat="false" ht="15" hidden="false" customHeight="false" outlineLevel="0" collapsed="false">
      <c r="A139" s="7" t="n">
        <v>44210</v>
      </c>
      <c r="B139" s="8" t="n">
        <f aca="false">YEAR(A139)</f>
        <v>2021</v>
      </c>
      <c r="C139" s="8" t="n">
        <f aca="false">MONTH(A139)</f>
        <v>1</v>
      </c>
      <c r="D139" s="8" t="s">
        <v>36</v>
      </c>
      <c r="E139" s="9" t="n">
        <v>14550</v>
      </c>
      <c r="F139" s="10" t="n">
        <v>23.29</v>
      </c>
      <c r="G139" s="11" t="n">
        <v>89.5</v>
      </c>
      <c r="H139" s="4" t="n">
        <v>1856</v>
      </c>
      <c r="I139" s="8" t="n">
        <v>1</v>
      </c>
      <c r="J139" s="11" t="n">
        <v>88.7</v>
      </c>
      <c r="K139" s="4" t="n">
        <v>795</v>
      </c>
      <c r="L139" s="8" t="n">
        <v>1</v>
      </c>
      <c r="M139" s="11" t="n">
        <v>84.2</v>
      </c>
      <c r="N139" s="4" t="n">
        <v>2383</v>
      </c>
      <c r="O139" s="8" t="n">
        <v>1</v>
      </c>
      <c r="P139" s="4" t="n">
        <f aca="false">H139+K139+N139</f>
        <v>5034</v>
      </c>
      <c r="Q139" s="4" t="n">
        <f aca="false">Q138+P139</f>
        <v>248192</v>
      </c>
      <c r="R139" s="4" t="n">
        <f aca="false">Q139-MAX(0,MAX($Q$2:Q139))</f>
        <v>0</v>
      </c>
    </row>
    <row r="140" customFormat="false" ht="15" hidden="false" customHeight="false" outlineLevel="0" collapsed="false">
      <c r="A140" s="7" t="n">
        <v>44217</v>
      </c>
      <c r="B140" s="8" t="n">
        <f aca="false">YEAR(A140)</f>
        <v>2021</v>
      </c>
      <c r="C140" s="8" t="n">
        <f aca="false">MONTH(A140)</f>
        <v>1</v>
      </c>
      <c r="D140" s="8" t="s">
        <v>36</v>
      </c>
      <c r="E140" s="9" t="n">
        <v>14731</v>
      </c>
      <c r="F140" s="10" t="n">
        <v>21.55</v>
      </c>
      <c r="G140" s="11" t="n">
        <v>72.6</v>
      </c>
      <c r="H140" s="4" t="n">
        <v>596</v>
      </c>
      <c r="I140" s="8" t="n">
        <v>1</v>
      </c>
      <c r="J140" s="11" t="n">
        <v>72.1</v>
      </c>
      <c r="K140" s="4" t="n">
        <v>2523</v>
      </c>
      <c r="L140" s="8" t="n">
        <v>1</v>
      </c>
      <c r="M140" s="11" t="n">
        <v>67.3</v>
      </c>
      <c r="N140" s="4" t="n">
        <v>478</v>
      </c>
      <c r="O140" s="8" t="n">
        <v>1</v>
      </c>
      <c r="P140" s="4" t="n">
        <f aca="false">H140+K140+N140</f>
        <v>3597</v>
      </c>
      <c r="Q140" s="4" t="n">
        <f aca="false">Q139+P140</f>
        <v>251789</v>
      </c>
      <c r="R140" s="4" t="n">
        <f aca="false">Q140-MAX(0,MAX($Q$2:Q140))</f>
        <v>0</v>
      </c>
    </row>
    <row r="141" customFormat="false" ht="15" hidden="false" customHeight="false" outlineLevel="0" collapsed="false">
      <c r="A141" s="7" t="n">
        <v>44224</v>
      </c>
      <c r="B141" s="8" t="n">
        <f aca="false">YEAR(A141)</f>
        <v>2021</v>
      </c>
      <c r="C141" s="8" t="n">
        <f aca="false">MONTH(A141)</f>
        <v>1</v>
      </c>
      <c r="D141" s="8" t="s">
        <v>36</v>
      </c>
      <c r="E141" s="9" t="n">
        <v>13810.4</v>
      </c>
      <c r="F141" s="10" t="n">
        <v>24.39</v>
      </c>
      <c r="G141" s="11" t="n">
        <v>111.7</v>
      </c>
      <c r="H141" s="4" t="n">
        <v>1539</v>
      </c>
      <c r="I141" s="8" t="n">
        <v>1</v>
      </c>
      <c r="J141" s="11" t="n">
        <v>108.8</v>
      </c>
      <c r="K141" s="4" t="n">
        <v>2969</v>
      </c>
      <c r="L141" s="8" t="n">
        <v>1</v>
      </c>
      <c r="M141" s="11" t="n">
        <v>102.2</v>
      </c>
      <c r="N141" s="4" t="n">
        <v>1670</v>
      </c>
      <c r="O141" s="8" t="n">
        <v>1</v>
      </c>
      <c r="P141" s="4" t="n">
        <f aca="false">H141+K141+N141</f>
        <v>6178</v>
      </c>
      <c r="Q141" s="4" t="n">
        <f aca="false">Q140+P141</f>
        <v>257967</v>
      </c>
      <c r="R141" s="4" t="n">
        <f aca="false">Q141-MAX(0,MAX($Q$2:Q141))</f>
        <v>0</v>
      </c>
    </row>
    <row r="142" customFormat="false" ht="15" hidden="false" customHeight="false" outlineLevel="0" collapsed="false">
      <c r="A142" s="7" t="n">
        <v>44231</v>
      </c>
      <c r="B142" s="8" t="n">
        <f aca="false">YEAR(A142)</f>
        <v>2021</v>
      </c>
      <c r="C142" s="8" t="n">
        <f aca="false">MONTH(A142)</f>
        <v>2</v>
      </c>
      <c r="D142" s="8" t="s">
        <v>36</v>
      </c>
      <c r="E142" s="9" t="n">
        <v>14789</v>
      </c>
      <c r="F142" s="10" t="n">
        <v>23.75</v>
      </c>
      <c r="G142" s="11" t="n">
        <v>113.9</v>
      </c>
      <c r="H142" s="4" t="n">
        <v>-2556</v>
      </c>
      <c r="I142" s="8" t="n">
        <v>2</v>
      </c>
      <c r="J142" s="11" t="n">
        <v>109.1</v>
      </c>
      <c r="K142" s="4" t="n">
        <v>2684</v>
      </c>
      <c r="L142" s="8" t="n">
        <v>1</v>
      </c>
      <c r="M142" s="11" t="n">
        <v>103.7</v>
      </c>
      <c r="N142" s="4" t="n">
        <v>-2347</v>
      </c>
      <c r="O142" s="8" t="n">
        <v>2</v>
      </c>
      <c r="P142" s="4" t="n">
        <f aca="false">H142+K142+N142</f>
        <v>-2219</v>
      </c>
      <c r="Q142" s="4" t="n">
        <f aca="false">Q141+P142</f>
        <v>255748</v>
      </c>
      <c r="R142" s="4" t="n">
        <f aca="false">Q142-MAX(0,MAX($Q$2:Q142))</f>
        <v>-2219</v>
      </c>
    </row>
    <row r="143" customFormat="false" ht="15" hidden="false" customHeight="false" outlineLevel="0" collapsed="false">
      <c r="A143" s="7" t="n">
        <v>44238</v>
      </c>
      <c r="B143" s="8" t="n">
        <f aca="false">YEAR(A143)</f>
        <v>2021</v>
      </c>
      <c r="C143" s="8" t="n">
        <f aca="false">MONTH(A143)</f>
        <v>2</v>
      </c>
      <c r="D143" s="8" t="s">
        <v>36</v>
      </c>
      <c r="E143" s="9" t="n">
        <v>15073.2</v>
      </c>
      <c r="F143" s="10" t="n">
        <v>23.95</v>
      </c>
      <c r="G143" s="11" t="n">
        <v>132.6</v>
      </c>
      <c r="H143" s="4" t="n">
        <v>6204</v>
      </c>
      <c r="I143" s="8" t="n">
        <v>0</v>
      </c>
      <c r="J143" s="11" t="n">
        <v>128.5</v>
      </c>
      <c r="K143" s="4" t="n">
        <v>5941</v>
      </c>
      <c r="L143" s="8" t="n">
        <v>0</v>
      </c>
      <c r="M143" s="11" t="n">
        <v>122.5</v>
      </c>
      <c r="N143" s="4" t="n">
        <v>5549</v>
      </c>
      <c r="O143" s="8" t="n">
        <v>0</v>
      </c>
      <c r="P143" s="4" t="n">
        <f aca="false">H143+K143+N143</f>
        <v>17694</v>
      </c>
      <c r="Q143" s="4" t="n">
        <f aca="false">Q142+P143</f>
        <v>273442</v>
      </c>
      <c r="R143" s="4" t="n">
        <f aca="false">Q143-MAX(0,MAX($Q$2:Q143))</f>
        <v>0</v>
      </c>
    </row>
    <row r="144" customFormat="false" ht="15" hidden="false" customHeight="false" outlineLevel="0" collapsed="false">
      <c r="A144" s="7" t="n">
        <v>44245</v>
      </c>
      <c r="B144" s="8" t="n">
        <f aca="false">YEAR(A144)</f>
        <v>2021</v>
      </c>
      <c r="C144" s="8" t="n">
        <f aca="false">MONTH(A144)</f>
        <v>2</v>
      </c>
      <c r="D144" s="8" t="s">
        <v>36</v>
      </c>
      <c r="E144" s="9" t="n">
        <v>15238.7</v>
      </c>
      <c r="F144" s="10" t="n">
        <v>21.78</v>
      </c>
      <c r="G144" s="11" t="n">
        <v>91.2</v>
      </c>
      <c r="H144" s="4" t="n">
        <v>2870</v>
      </c>
      <c r="I144" s="8" t="n">
        <v>1</v>
      </c>
      <c r="J144" s="11" t="n">
        <v>87.5</v>
      </c>
      <c r="K144" s="4" t="n">
        <v>1012</v>
      </c>
      <c r="L144" s="8" t="n">
        <v>1</v>
      </c>
      <c r="M144" s="11" t="n">
        <v>82.6</v>
      </c>
      <c r="N144" s="4" t="n">
        <v>1319</v>
      </c>
      <c r="O144" s="8" t="n">
        <v>1</v>
      </c>
      <c r="P144" s="4" t="n">
        <f aca="false">H144+K144+N144</f>
        <v>5201</v>
      </c>
      <c r="Q144" s="4" t="n">
        <f aca="false">Q143+P144</f>
        <v>278643</v>
      </c>
      <c r="R144" s="4" t="n">
        <f aca="false">Q144-MAX(0,MAX($Q$2:Q144))</f>
        <v>0</v>
      </c>
    </row>
    <row r="145" customFormat="false" ht="15" hidden="false" customHeight="false" outlineLevel="0" collapsed="false">
      <c r="A145" s="7" t="n">
        <v>44252</v>
      </c>
      <c r="B145" s="8" t="n">
        <f aca="false">YEAR(A145)</f>
        <v>2021</v>
      </c>
      <c r="C145" s="8" t="n">
        <f aca="false">MONTH(A145)</f>
        <v>2</v>
      </c>
      <c r="D145" s="8" t="s">
        <v>36</v>
      </c>
      <c r="E145" s="9" t="n">
        <v>15079.8</v>
      </c>
      <c r="F145" s="10" t="n">
        <v>24.17</v>
      </c>
      <c r="G145" s="11" t="n">
        <v>97.1</v>
      </c>
      <c r="H145" s="4" t="n">
        <v>1970</v>
      </c>
      <c r="I145" s="8" t="n">
        <v>1</v>
      </c>
      <c r="J145" s="11" t="n">
        <v>94.3</v>
      </c>
      <c r="K145" s="4" t="n">
        <v>1676</v>
      </c>
      <c r="L145" s="8" t="n">
        <v>1</v>
      </c>
      <c r="M145" s="11" t="n">
        <v>91.1</v>
      </c>
      <c r="N145" s="4" t="n">
        <v>956</v>
      </c>
      <c r="O145" s="8" t="n">
        <v>1</v>
      </c>
      <c r="P145" s="4" t="n">
        <f aca="false">H145+K145+N145</f>
        <v>4602</v>
      </c>
      <c r="Q145" s="4" t="n">
        <f aca="false">Q144+P145</f>
        <v>283245</v>
      </c>
      <c r="R145" s="4" t="n">
        <f aca="false">Q145-MAX(0,MAX($Q$2:Q145))</f>
        <v>0</v>
      </c>
    </row>
    <row r="146" customFormat="false" ht="15" hidden="false" customHeight="false" outlineLevel="0" collapsed="false">
      <c r="A146" s="7" t="n">
        <v>44259</v>
      </c>
      <c r="B146" s="8" t="n">
        <f aca="false">YEAR(A146)</f>
        <v>2021</v>
      </c>
      <c r="C146" s="8" t="n">
        <f aca="false">MONTH(A146)</f>
        <v>3</v>
      </c>
      <c r="D146" s="8" t="s">
        <v>36</v>
      </c>
      <c r="E146" s="9" t="n">
        <v>15026.8</v>
      </c>
      <c r="F146" s="10" t="n">
        <v>22.09</v>
      </c>
      <c r="G146" s="11" t="n">
        <v>137.9</v>
      </c>
      <c r="H146" s="4" t="n">
        <v>2039</v>
      </c>
      <c r="I146" s="8" t="n">
        <v>1</v>
      </c>
      <c r="J146" s="11" t="n">
        <v>133.6</v>
      </c>
      <c r="K146" s="4" t="n">
        <v>2946</v>
      </c>
      <c r="L146" s="8" t="n">
        <v>1</v>
      </c>
      <c r="M146" s="11" t="n">
        <v>127.7</v>
      </c>
      <c r="N146" s="4" t="n">
        <v>1469</v>
      </c>
      <c r="O146" s="8" t="n">
        <v>1</v>
      </c>
      <c r="P146" s="4" t="n">
        <f aca="false">H146+K146+N146</f>
        <v>6454</v>
      </c>
      <c r="Q146" s="4" t="n">
        <f aca="false">Q145+P146</f>
        <v>289699</v>
      </c>
      <c r="R146" s="4" t="n">
        <f aca="false">Q146-MAX(0,MAX($Q$2:Q146))</f>
        <v>0</v>
      </c>
    </row>
    <row r="147" customFormat="false" ht="15" hidden="false" customHeight="false" outlineLevel="0" collapsed="false">
      <c r="A147" s="7" t="n">
        <v>44265</v>
      </c>
      <c r="B147" s="8" t="n">
        <f aca="false">YEAR(A147)</f>
        <v>2021</v>
      </c>
      <c r="C147" s="8" t="n">
        <f aca="false">MONTH(A147)</f>
        <v>3</v>
      </c>
      <c r="D147" s="8" t="s">
        <v>37</v>
      </c>
      <c r="E147" s="9" t="n">
        <v>15202.2</v>
      </c>
      <c r="F147" s="10" t="n">
        <v>22.5</v>
      </c>
      <c r="G147" s="11" t="n">
        <v>96.7</v>
      </c>
      <c r="H147" s="4" t="n">
        <v>1037</v>
      </c>
      <c r="I147" s="8" t="n">
        <v>1</v>
      </c>
      <c r="J147" s="11" t="n">
        <v>93.2</v>
      </c>
      <c r="K147" s="4" t="n">
        <v>1330</v>
      </c>
      <c r="L147" s="8" t="n">
        <v>1</v>
      </c>
      <c r="M147" s="11" t="n">
        <v>88.6</v>
      </c>
      <c r="N147" s="4" t="n">
        <v>264</v>
      </c>
      <c r="O147" s="8" t="n">
        <v>1</v>
      </c>
      <c r="P147" s="4" t="n">
        <f aca="false">H147+K147+N147</f>
        <v>2631</v>
      </c>
      <c r="Q147" s="4" t="n">
        <f aca="false">Q146+P147</f>
        <v>292330</v>
      </c>
      <c r="R147" s="4" t="n">
        <f aca="false">Q147-MAX(0,MAX($Q$2:Q147))</f>
        <v>0</v>
      </c>
    </row>
    <row r="148" customFormat="false" ht="15" hidden="false" customHeight="false" outlineLevel="0" collapsed="false">
      <c r="A148" s="7" t="n">
        <v>44273</v>
      </c>
      <c r="B148" s="8" t="n">
        <f aca="false">YEAR(A148)</f>
        <v>2021</v>
      </c>
      <c r="C148" s="8" t="n">
        <f aca="false">MONTH(A148)</f>
        <v>3</v>
      </c>
      <c r="D148" s="8" t="s">
        <v>36</v>
      </c>
      <c r="E148" s="9" t="n">
        <v>14855.5</v>
      </c>
      <c r="F148" s="10" t="n">
        <v>20.16</v>
      </c>
      <c r="G148" s="11" t="n">
        <v>121.9</v>
      </c>
      <c r="H148" s="4" t="n">
        <v>3042</v>
      </c>
      <c r="I148" s="8" t="n">
        <v>1</v>
      </c>
      <c r="J148" s="11" t="n">
        <v>118.7</v>
      </c>
      <c r="K148" s="4" t="n">
        <v>1585</v>
      </c>
      <c r="L148" s="8" t="n">
        <v>1</v>
      </c>
      <c r="M148" s="11" t="n">
        <v>113</v>
      </c>
      <c r="N148" s="4" t="n">
        <v>-2538</v>
      </c>
      <c r="O148" s="8" t="n">
        <v>2</v>
      </c>
      <c r="P148" s="4" t="n">
        <f aca="false">H148+K148+N148</f>
        <v>2089</v>
      </c>
      <c r="Q148" s="4" t="n">
        <f aca="false">Q147+P148</f>
        <v>294419</v>
      </c>
      <c r="R148" s="4" t="n">
        <f aca="false">Q148-MAX(0,MAX($Q$2:Q148))</f>
        <v>0</v>
      </c>
    </row>
    <row r="149" customFormat="false" ht="15" hidden="false" customHeight="false" outlineLevel="0" collapsed="false">
      <c r="A149" s="7" t="n">
        <v>44280</v>
      </c>
      <c r="B149" s="8" t="n">
        <f aca="false">YEAR(A149)</f>
        <v>2021</v>
      </c>
      <c r="C149" s="8" t="n">
        <f aca="false">MONTH(A149)</f>
        <v>3</v>
      </c>
      <c r="D149" s="8" t="s">
        <v>36</v>
      </c>
      <c r="E149" s="9" t="n">
        <v>14570.9</v>
      </c>
      <c r="F149" s="10" t="n">
        <v>22.46</v>
      </c>
      <c r="G149" s="11" t="n">
        <v>114.4</v>
      </c>
      <c r="H149" s="4" t="n">
        <v>2243</v>
      </c>
      <c r="I149" s="8" t="n">
        <v>1</v>
      </c>
      <c r="J149" s="11" t="n">
        <v>111.2</v>
      </c>
      <c r="K149" s="4" t="n">
        <v>1880</v>
      </c>
      <c r="L149" s="8" t="n">
        <v>1</v>
      </c>
      <c r="M149" s="11" t="n">
        <v>106.2</v>
      </c>
      <c r="N149" s="4" t="n">
        <v>-2397</v>
      </c>
      <c r="O149" s="8" t="n">
        <v>2</v>
      </c>
      <c r="P149" s="4" t="n">
        <f aca="false">H149+K149+N149</f>
        <v>1726</v>
      </c>
      <c r="Q149" s="4" t="n">
        <f aca="false">Q148+P149</f>
        <v>296145</v>
      </c>
      <c r="R149" s="4" t="n">
        <f aca="false">Q149-MAX(0,MAX($Q$2:Q149))</f>
        <v>0</v>
      </c>
    </row>
    <row r="150" customFormat="false" ht="15" hidden="false" customHeight="false" outlineLevel="0" collapsed="false">
      <c r="A150" s="7" t="n">
        <v>44287</v>
      </c>
      <c r="B150" s="8" t="n">
        <f aca="false">YEAR(A150)</f>
        <v>2021</v>
      </c>
      <c r="C150" s="8" t="n">
        <f aca="false">MONTH(A150)</f>
        <v>4</v>
      </c>
      <c r="D150" s="8" t="s">
        <v>36</v>
      </c>
      <c r="E150" s="9" t="n">
        <v>14798.4</v>
      </c>
      <c r="F150" s="10" t="n">
        <v>20.65</v>
      </c>
      <c r="G150" s="11" t="n">
        <v>111.3</v>
      </c>
      <c r="H150" s="4" t="n">
        <v>-2503</v>
      </c>
      <c r="I150" s="8" t="n">
        <v>2</v>
      </c>
      <c r="J150" s="11" t="n">
        <v>107.2</v>
      </c>
      <c r="K150" s="4" t="n">
        <v>-2419</v>
      </c>
      <c r="L150" s="8" t="n">
        <v>2</v>
      </c>
      <c r="M150" s="11" t="n">
        <v>101.3</v>
      </c>
      <c r="N150" s="4" t="n">
        <v>-2298</v>
      </c>
      <c r="O150" s="8" t="n">
        <v>2</v>
      </c>
      <c r="P150" s="4" t="n">
        <f aca="false">H150+K150+N150</f>
        <v>-7220</v>
      </c>
      <c r="Q150" s="4" t="n">
        <f aca="false">Q149+P150</f>
        <v>288925</v>
      </c>
      <c r="R150" s="4" t="n">
        <f aca="false">Q150-MAX(0,MAX($Q$2:Q150))</f>
        <v>-7220</v>
      </c>
    </row>
    <row r="151" customFormat="false" ht="15" hidden="false" customHeight="false" outlineLevel="0" collapsed="false">
      <c r="A151" s="7" t="n">
        <v>44294</v>
      </c>
      <c r="B151" s="8" t="n">
        <f aca="false">YEAR(A151)</f>
        <v>2021</v>
      </c>
      <c r="C151" s="8" t="n">
        <f aca="false">MONTH(A151)</f>
        <v>4</v>
      </c>
      <c r="D151" s="8" t="s">
        <v>36</v>
      </c>
      <c r="E151" s="9" t="n">
        <v>14875.6</v>
      </c>
      <c r="F151" s="10" t="n">
        <v>20.25</v>
      </c>
      <c r="G151" s="11" t="n">
        <v>100.2</v>
      </c>
      <c r="H151" s="4" t="n">
        <v>1642</v>
      </c>
      <c r="I151" s="8" t="n">
        <v>1</v>
      </c>
      <c r="J151" s="11" t="n">
        <v>97.4</v>
      </c>
      <c r="K151" s="4" t="n">
        <v>1490</v>
      </c>
      <c r="L151" s="8" t="n">
        <v>1</v>
      </c>
      <c r="M151" s="11" t="n">
        <v>92.5</v>
      </c>
      <c r="N151" s="4" t="n">
        <v>2034</v>
      </c>
      <c r="O151" s="8" t="n">
        <v>1</v>
      </c>
      <c r="P151" s="4" t="n">
        <f aca="false">H151+K151+N151</f>
        <v>5166</v>
      </c>
      <c r="Q151" s="4" t="n">
        <f aca="false">Q150+P151</f>
        <v>294091</v>
      </c>
      <c r="R151" s="4" t="n">
        <f aca="false">Q151-MAX(0,MAX($Q$2:Q151))</f>
        <v>-2054</v>
      </c>
    </row>
    <row r="152" customFormat="false" ht="15" hidden="false" customHeight="false" outlineLevel="0" collapsed="false">
      <c r="A152" s="7" t="n">
        <v>44301</v>
      </c>
      <c r="B152" s="8" t="n">
        <f aca="false">YEAR(A152)</f>
        <v>2021</v>
      </c>
      <c r="C152" s="8" t="n">
        <f aca="false">MONTH(A152)</f>
        <v>4</v>
      </c>
      <c r="D152" s="8" t="s">
        <v>36</v>
      </c>
      <c r="E152" s="9" t="n">
        <v>14522.4</v>
      </c>
      <c r="F152" s="10" t="n">
        <v>20.46</v>
      </c>
      <c r="G152" s="11" t="n">
        <v>122.5</v>
      </c>
      <c r="H152" s="4" t="n">
        <v>-2732</v>
      </c>
      <c r="I152" s="8" t="n">
        <v>2</v>
      </c>
      <c r="J152" s="11" t="n">
        <v>118</v>
      </c>
      <c r="K152" s="4" t="n">
        <v>-2639</v>
      </c>
      <c r="L152" s="8" t="n">
        <v>2</v>
      </c>
      <c r="M152" s="11" t="n">
        <v>111.7</v>
      </c>
      <c r="N152" s="4" t="n">
        <v>2869</v>
      </c>
      <c r="O152" s="8" t="n">
        <v>1</v>
      </c>
      <c r="P152" s="4" t="n">
        <f aca="false">H152+K152+N152</f>
        <v>-2502</v>
      </c>
      <c r="Q152" s="4" t="n">
        <f aca="false">Q151+P152</f>
        <v>291589</v>
      </c>
      <c r="R152" s="4" t="n">
        <f aca="false">Q152-MAX(0,MAX($Q$2:Q152))</f>
        <v>-4556</v>
      </c>
    </row>
    <row r="153" customFormat="false" ht="15" hidden="false" customHeight="false" outlineLevel="0" collapsed="false">
      <c r="A153" s="7" t="n">
        <v>44308</v>
      </c>
      <c r="B153" s="8" t="n">
        <f aca="false">YEAR(A153)</f>
        <v>2021</v>
      </c>
      <c r="C153" s="8" t="n">
        <f aca="false">MONTH(A153)</f>
        <v>4</v>
      </c>
      <c r="D153" s="8" t="s">
        <v>36</v>
      </c>
      <c r="E153" s="9" t="n">
        <v>14219.2</v>
      </c>
      <c r="F153" s="10" t="n">
        <v>22.43</v>
      </c>
      <c r="G153" s="11" t="n">
        <v>138.4</v>
      </c>
      <c r="H153" s="4" t="n">
        <v>2838</v>
      </c>
      <c r="I153" s="8" t="n">
        <v>1</v>
      </c>
      <c r="J153" s="11" t="n">
        <v>134.6</v>
      </c>
      <c r="K153" s="4" t="n">
        <v>3263</v>
      </c>
      <c r="L153" s="8" t="n">
        <v>1</v>
      </c>
      <c r="M153" s="11" t="n">
        <v>128.8</v>
      </c>
      <c r="N153" s="4" t="n">
        <v>-2862</v>
      </c>
      <c r="O153" s="8" t="n">
        <v>2</v>
      </c>
      <c r="P153" s="4" t="n">
        <f aca="false">H153+K153+N153</f>
        <v>3239</v>
      </c>
      <c r="Q153" s="4" t="n">
        <f aca="false">Q152+P153</f>
        <v>294828</v>
      </c>
      <c r="R153" s="4" t="n">
        <f aca="false">Q153-MAX(0,MAX($Q$2:Q153))</f>
        <v>-1317</v>
      </c>
    </row>
    <row r="154" customFormat="false" ht="15" hidden="false" customHeight="false" outlineLevel="0" collapsed="false">
      <c r="A154" s="7" t="n">
        <v>44315</v>
      </c>
      <c r="B154" s="8" t="n">
        <f aca="false">YEAR(A154)</f>
        <v>2021</v>
      </c>
      <c r="C154" s="8" t="n">
        <f aca="false">MONTH(A154)</f>
        <v>4</v>
      </c>
      <c r="D154" s="8" t="s">
        <v>36</v>
      </c>
      <c r="E154" s="9" t="n">
        <v>14979</v>
      </c>
      <c r="F154" s="10" t="n">
        <v>22.58</v>
      </c>
      <c r="G154" s="11" t="n">
        <v>91.9</v>
      </c>
      <c r="H154" s="4" t="n">
        <v>2403</v>
      </c>
      <c r="I154" s="8" t="n">
        <v>1</v>
      </c>
      <c r="J154" s="11" t="n">
        <v>88.6</v>
      </c>
      <c r="K154" s="4" t="n">
        <v>1281</v>
      </c>
      <c r="L154" s="8" t="n">
        <v>1</v>
      </c>
      <c r="M154" s="11" t="n">
        <v>84.8</v>
      </c>
      <c r="N154" s="4" t="n">
        <v>1936</v>
      </c>
      <c r="O154" s="8" t="n">
        <v>1</v>
      </c>
      <c r="P154" s="4" t="n">
        <f aca="false">H154+K154+N154</f>
        <v>5620</v>
      </c>
      <c r="Q154" s="4" t="n">
        <f aca="false">Q153+P154</f>
        <v>300448</v>
      </c>
      <c r="R154" s="4" t="n">
        <f aca="false">Q154-MAX(0,MAX($Q$2:Q154))</f>
        <v>0</v>
      </c>
    </row>
    <row r="155" customFormat="false" ht="15" hidden="false" customHeight="false" outlineLevel="0" collapsed="false">
      <c r="A155" s="7" t="n">
        <v>44322</v>
      </c>
      <c r="B155" s="8" t="n">
        <f aca="false">YEAR(A155)</f>
        <v>2021</v>
      </c>
      <c r="C155" s="8" t="n">
        <f aca="false">MONTH(A155)</f>
        <v>5</v>
      </c>
      <c r="D155" s="8" t="s">
        <v>36</v>
      </c>
      <c r="E155" s="9" t="n">
        <v>14668.4</v>
      </c>
      <c r="F155" s="10" t="n">
        <v>23.01</v>
      </c>
      <c r="G155" s="11" t="n">
        <v>130</v>
      </c>
      <c r="H155" s="4" t="n">
        <v>88</v>
      </c>
      <c r="I155" s="8" t="n">
        <v>1</v>
      </c>
      <c r="J155" s="11" t="n">
        <v>126.3</v>
      </c>
      <c r="K155" s="4" t="n">
        <v>-1178</v>
      </c>
      <c r="L155" s="8" t="n">
        <v>1</v>
      </c>
      <c r="M155" s="11" t="n">
        <v>120.9</v>
      </c>
      <c r="N155" s="4" t="n">
        <v>1268</v>
      </c>
      <c r="O155" s="8" t="n">
        <v>1</v>
      </c>
      <c r="P155" s="4" t="n">
        <f aca="false">H155+K155+N155</f>
        <v>178</v>
      </c>
      <c r="Q155" s="4" t="n">
        <f aca="false">Q154+P155</f>
        <v>300626</v>
      </c>
      <c r="R155" s="4" t="n">
        <f aca="false">Q155-MAX(0,MAX($Q$2:Q155))</f>
        <v>0</v>
      </c>
    </row>
    <row r="156" customFormat="false" ht="15" hidden="false" customHeight="false" outlineLevel="0" collapsed="false">
      <c r="A156" s="7" t="n">
        <v>44328</v>
      </c>
      <c r="B156" s="8" t="n">
        <f aca="false">YEAR(A156)</f>
        <v>2021</v>
      </c>
      <c r="C156" s="8" t="n">
        <f aca="false">MONTH(A156)</f>
        <v>5</v>
      </c>
      <c r="D156" s="8" t="s">
        <v>37</v>
      </c>
      <c r="E156" s="9" t="n">
        <v>14823.6</v>
      </c>
      <c r="F156" s="10" t="n">
        <v>20.23</v>
      </c>
      <c r="G156" s="11" t="n">
        <v>113.2</v>
      </c>
      <c r="H156" s="4" t="n">
        <v>3212</v>
      </c>
      <c r="I156" s="8" t="n">
        <v>1</v>
      </c>
      <c r="J156" s="11" t="n">
        <v>109.6</v>
      </c>
      <c r="K156" s="4" t="n">
        <v>2985</v>
      </c>
      <c r="L156" s="8" t="n">
        <v>1</v>
      </c>
      <c r="M156" s="11" t="n">
        <v>104.4</v>
      </c>
      <c r="N156" s="4" t="n">
        <v>618</v>
      </c>
      <c r="O156" s="8" t="n">
        <v>1</v>
      </c>
      <c r="P156" s="4" t="n">
        <f aca="false">H156+K156+N156</f>
        <v>6815</v>
      </c>
      <c r="Q156" s="4" t="n">
        <f aca="false">Q155+P156</f>
        <v>307441</v>
      </c>
      <c r="R156" s="4" t="n">
        <f aca="false">Q156-MAX(0,MAX($Q$2:Q156))</f>
        <v>0</v>
      </c>
    </row>
    <row r="157" customFormat="false" ht="15" hidden="false" customHeight="false" outlineLevel="0" collapsed="false">
      <c r="A157" s="7" t="n">
        <v>44336</v>
      </c>
      <c r="B157" s="8" t="n">
        <f aca="false">YEAR(A157)</f>
        <v>2021</v>
      </c>
      <c r="C157" s="8" t="n">
        <f aca="false">MONTH(A157)</f>
        <v>5</v>
      </c>
      <c r="D157" s="8" t="s">
        <v>36</v>
      </c>
      <c r="E157" s="9" t="n">
        <v>15042.6</v>
      </c>
      <c r="F157" s="10" t="n">
        <v>19.24</v>
      </c>
      <c r="G157" s="11" t="n">
        <v>100.3</v>
      </c>
      <c r="H157" s="4" t="n">
        <v>2380</v>
      </c>
      <c r="I157" s="8" t="n">
        <v>1</v>
      </c>
      <c r="J157" s="11" t="n">
        <v>97.8</v>
      </c>
      <c r="K157" s="4" t="n">
        <v>2564</v>
      </c>
      <c r="L157" s="8" t="n">
        <v>1</v>
      </c>
      <c r="M157" s="11" t="n">
        <v>92.6</v>
      </c>
      <c r="N157" s="4" t="n">
        <v>1577</v>
      </c>
      <c r="O157" s="8" t="n">
        <v>1</v>
      </c>
      <c r="P157" s="4" t="n">
        <f aca="false">H157+K157+N157</f>
        <v>6521</v>
      </c>
      <c r="Q157" s="4" t="n">
        <f aca="false">Q156+P157</f>
        <v>313962</v>
      </c>
      <c r="R157" s="4" t="n">
        <f aca="false">Q157-MAX(0,MAX($Q$2:Q157))</f>
        <v>0</v>
      </c>
    </row>
    <row r="158" customFormat="false" ht="15" hidden="false" customHeight="false" outlineLevel="0" collapsed="false">
      <c r="A158" s="7" t="n">
        <v>44343</v>
      </c>
      <c r="B158" s="8" t="n">
        <f aca="false">YEAR(A158)</f>
        <v>2021</v>
      </c>
      <c r="C158" s="8" t="n">
        <f aca="false">MONTH(A158)</f>
        <v>5</v>
      </c>
      <c r="D158" s="8" t="s">
        <v>36</v>
      </c>
      <c r="E158" s="9" t="n">
        <v>15324</v>
      </c>
      <c r="F158" s="10" t="n">
        <v>20.87</v>
      </c>
      <c r="G158" s="11" t="n">
        <v>97.1</v>
      </c>
      <c r="H158" s="4" t="n">
        <v>1952</v>
      </c>
      <c r="I158" s="8" t="n">
        <v>1</v>
      </c>
      <c r="J158" s="11" t="n">
        <v>95.2</v>
      </c>
      <c r="K158" s="4" t="n">
        <v>1101</v>
      </c>
      <c r="L158" s="8" t="n">
        <v>1</v>
      </c>
      <c r="M158" s="11" t="n">
        <v>90.8</v>
      </c>
      <c r="N158" s="4" t="n">
        <v>1020</v>
      </c>
      <c r="O158" s="8" t="n">
        <v>1</v>
      </c>
      <c r="P158" s="4" t="n">
        <f aca="false">H158+K158+N158</f>
        <v>4073</v>
      </c>
      <c r="Q158" s="4" t="n">
        <f aca="false">Q157+P158</f>
        <v>318035</v>
      </c>
      <c r="R158" s="4" t="n">
        <f aca="false">Q158-MAX(0,MAX($Q$2:Q158))</f>
        <v>0</v>
      </c>
    </row>
    <row r="159" customFormat="false" ht="15" hidden="false" customHeight="false" outlineLevel="0" collapsed="false">
      <c r="A159" s="7" t="n">
        <v>44350</v>
      </c>
      <c r="B159" s="8" t="n">
        <f aca="false">YEAR(A159)</f>
        <v>2021</v>
      </c>
      <c r="C159" s="8" t="n">
        <f aca="false">MONTH(A159)</f>
        <v>6</v>
      </c>
      <c r="D159" s="8" t="s">
        <v>36</v>
      </c>
      <c r="E159" s="9" t="n">
        <v>15655.6</v>
      </c>
      <c r="F159" s="10" t="n">
        <v>17.21</v>
      </c>
      <c r="G159" s="11" t="n">
        <v>96.1</v>
      </c>
      <c r="H159" s="4" t="n">
        <v>-255</v>
      </c>
      <c r="I159" s="8" t="n">
        <v>1</v>
      </c>
      <c r="J159" s="11" t="n">
        <v>92.1</v>
      </c>
      <c r="K159" s="4" t="n">
        <v>2735</v>
      </c>
      <c r="L159" s="8" t="n">
        <v>0</v>
      </c>
      <c r="M159" s="11" t="n">
        <v>87.7</v>
      </c>
      <c r="N159" s="4" t="n">
        <v>2449</v>
      </c>
      <c r="O159" s="8" t="n">
        <v>0</v>
      </c>
      <c r="P159" s="4" t="n">
        <f aca="false">H159+K159+N159</f>
        <v>4929</v>
      </c>
      <c r="Q159" s="4" t="n">
        <f aca="false">Q158+P159</f>
        <v>322964</v>
      </c>
      <c r="R159" s="4" t="n">
        <f aca="false">Q159-MAX(0,MAX($Q$2:Q159))</f>
        <v>0</v>
      </c>
    </row>
    <row r="160" customFormat="false" ht="15" hidden="false" customHeight="false" outlineLevel="0" collapsed="false">
      <c r="A160" s="7" t="n">
        <v>44357</v>
      </c>
      <c r="B160" s="8" t="n">
        <f aca="false">YEAR(A160)</f>
        <v>2021</v>
      </c>
      <c r="C160" s="8" t="n">
        <f aca="false">MONTH(A160)</f>
        <v>6</v>
      </c>
      <c r="D160" s="8" t="s">
        <v>36</v>
      </c>
      <c r="E160" s="9" t="n">
        <v>15692.1</v>
      </c>
      <c r="F160" s="10" t="n">
        <v>14.75</v>
      </c>
      <c r="G160" s="11" t="n">
        <v>64.1</v>
      </c>
      <c r="H160" s="4" t="n">
        <v>1029</v>
      </c>
      <c r="I160" s="8" t="n">
        <v>1</v>
      </c>
      <c r="J160" s="11" t="n">
        <v>62.4</v>
      </c>
      <c r="K160" s="4" t="n">
        <v>1440</v>
      </c>
      <c r="L160" s="8" t="n">
        <v>1</v>
      </c>
      <c r="M160" s="11" t="n">
        <v>60.3</v>
      </c>
      <c r="N160" s="4" t="n">
        <v>-1459</v>
      </c>
      <c r="O160" s="8" t="n">
        <v>2</v>
      </c>
      <c r="P160" s="4" t="n">
        <f aca="false">H160+K160+N160</f>
        <v>1010</v>
      </c>
      <c r="Q160" s="4" t="n">
        <f aca="false">Q159+P160</f>
        <v>323974</v>
      </c>
      <c r="R160" s="4" t="n">
        <f aca="false">Q160-MAX(0,MAX($Q$2:Q160))</f>
        <v>0</v>
      </c>
    </row>
    <row r="161" customFormat="false" ht="15" hidden="false" customHeight="false" outlineLevel="0" collapsed="false">
      <c r="A161" s="7" t="n">
        <v>44364</v>
      </c>
      <c r="B161" s="8" t="n">
        <f aca="false">YEAR(A161)</f>
        <v>2021</v>
      </c>
      <c r="C161" s="8" t="n">
        <f aca="false">MONTH(A161)</f>
        <v>6</v>
      </c>
      <c r="D161" s="8" t="s">
        <v>36</v>
      </c>
      <c r="E161" s="9" t="n">
        <v>15648.3</v>
      </c>
      <c r="F161" s="10" t="n">
        <v>14.87</v>
      </c>
      <c r="G161" s="11" t="n">
        <v>96.9</v>
      </c>
      <c r="H161" s="4" t="n">
        <v>-2208</v>
      </c>
      <c r="I161" s="8" t="n">
        <v>2</v>
      </c>
      <c r="J161" s="11" t="n">
        <v>95.4</v>
      </c>
      <c r="K161" s="4" t="n">
        <v>-2176</v>
      </c>
      <c r="L161" s="8" t="n">
        <v>2</v>
      </c>
      <c r="M161" s="11" t="n">
        <v>88.5</v>
      </c>
      <c r="N161" s="4" t="n">
        <v>-2035</v>
      </c>
      <c r="O161" s="8" t="n">
        <v>2</v>
      </c>
      <c r="P161" s="4" t="n">
        <f aca="false">H161+K161+N161</f>
        <v>-6419</v>
      </c>
      <c r="Q161" s="4" t="n">
        <f aca="false">Q160+P161</f>
        <v>317555</v>
      </c>
      <c r="R161" s="4" t="n">
        <f aca="false">Q161-MAX(0,MAX($Q$2:Q161))</f>
        <v>-6419</v>
      </c>
    </row>
    <row r="162" customFormat="false" ht="15" hidden="false" customHeight="false" outlineLevel="0" collapsed="false">
      <c r="A162" s="7" t="n">
        <v>44371</v>
      </c>
      <c r="B162" s="8" t="n">
        <f aca="false">YEAR(A162)</f>
        <v>2021</v>
      </c>
      <c r="C162" s="8" t="n">
        <f aca="false">MONTH(A162)</f>
        <v>6</v>
      </c>
      <c r="D162" s="8" t="s">
        <v>36</v>
      </c>
      <c r="E162" s="9" t="n">
        <v>15737.3</v>
      </c>
      <c r="F162" s="10" t="n">
        <v>15.37</v>
      </c>
      <c r="G162" s="11" t="n">
        <v>84.7</v>
      </c>
      <c r="H162" s="4" t="n">
        <v>-1958</v>
      </c>
      <c r="I162" s="8" t="n">
        <v>2</v>
      </c>
      <c r="J162" s="11" t="n">
        <v>82</v>
      </c>
      <c r="K162" s="4" t="n">
        <v>1914</v>
      </c>
      <c r="L162" s="8" t="n">
        <v>1</v>
      </c>
      <c r="M162" s="11" t="n">
        <v>77.9</v>
      </c>
      <c r="N162" s="4" t="n">
        <v>1627</v>
      </c>
      <c r="O162" s="8" t="n">
        <v>1</v>
      </c>
      <c r="P162" s="4" t="n">
        <f aca="false">H162+K162+N162</f>
        <v>1583</v>
      </c>
      <c r="Q162" s="4" t="n">
        <f aca="false">Q161+P162</f>
        <v>319138</v>
      </c>
      <c r="R162" s="4" t="n">
        <f aca="false">Q162-MAX(0,MAX($Q$2:Q162))</f>
        <v>-4836</v>
      </c>
    </row>
    <row r="163" customFormat="false" ht="15" hidden="false" customHeight="false" outlineLevel="0" collapsed="false">
      <c r="A163" s="7" t="n">
        <v>44378</v>
      </c>
      <c r="B163" s="8" t="n">
        <f aca="false">YEAR(A163)</f>
        <v>2021</v>
      </c>
      <c r="C163" s="8" t="n">
        <f aca="false">MONTH(A163)</f>
        <v>7</v>
      </c>
      <c r="D163" s="8" t="s">
        <v>36</v>
      </c>
      <c r="E163" s="9" t="n">
        <v>15755</v>
      </c>
      <c r="F163" s="10" t="n">
        <v>13.05</v>
      </c>
      <c r="G163" s="11" t="n">
        <v>55.9</v>
      </c>
      <c r="H163" s="4" t="n">
        <v>811</v>
      </c>
      <c r="I163" s="8" t="n">
        <v>1</v>
      </c>
      <c r="J163" s="11" t="n">
        <v>56.7</v>
      </c>
      <c r="K163" s="4" t="n">
        <v>1927</v>
      </c>
      <c r="L163" s="8" t="n">
        <v>1</v>
      </c>
      <c r="M163" s="11" t="n">
        <v>51.9</v>
      </c>
      <c r="N163" s="4" t="n">
        <v>1273</v>
      </c>
      <c r="O163" s="8" t="n">
        <v>1</v>
      </c>
      <c r="P163" s="4" t="n">
        <f aca="false">H163+K163+N163</f>
        <v>4011</v>
      </c>
      <c r="Q163" s="4" t="n">
        <f aca="false">Q162+P163</f>
        <v>323149</v>
      </c>
      <c r="R163" s="4" t="n">
        <f aca="false">Q163-MAX(0,MAX($Q$2:Q163))</f>
        <v>-825</v>
      </c>
    </row>
    <row r="164" customFormat="false" ht="15" hidden="false" customHeight="false" outlineLevel="0" collapsed="false">
      <c r="A164" s="7" t="n">
        <v>44385</v>
      </c>
      <c r="B164" s="8" t="n">
        <f aca="false">YEAR(A164)</f>
        <v>2021</v>
      </c>
      <c r="C164" s="8" t="n">
        <f aca="false">MONTH(A164)</f>
        <v>7</v>
      </c>
      <c r="D164" s="8" t="s">
        <v>36</v>
      </c>
      <c r="E164" s="9" t="n">
        <v>15855.4</v>
      </c>
      <c r="F164" s="10" t="n">
        <v>12.21</v>
      </c>
      <c r="G164" s="11" t="n">
        <v>61.4</v>
      </c>
      <c r="H164" s="4" t="n">
        <v>260</v>
      </c>
      <c r="I164" s="8" t="n">
        <v>1</v>
      </c>
      <c r="J164" s="11" t="n">
        <v>58</v>
      </c>
      <c r="K164" s="4" t="n">
        <v>1537</v>
      </c>
      <c r="L164" s="8" t="n">
        <v>1</v>
      </c>
      <c r="M164" s="11" t="n">
        <v>55.9</v>
      </c>
      <c r="N164" s="4" t="n">
        <v>373</v>
      </c>
      <c r="O164" s="8" t="n">
        <v>1</v>
      </c>
      <c r="P164" s="4" t="n">
        <f aca="false">H164+K164+N164</f>
        <v>2170</v>
      </c>
      <c r="Q164" s="4" t="n">
        <f aca="false">Q163+P164</f>
        <v>325319</v>
      </c>
      <c r="R164" s="4" t="n">
        <f aca="false">Q164-MAX(0,MAX($Q$2:Q164))</f>
        <v>0</v>
      </c>
    </row>
    <row r="165" customFormat="false" ht="15" hidden="false" customHeight="false" outlineLevel="0" collapsed="false">
      <c r="A165" s="7" t="n">
        <v>44392</v>
      </c>
      <c r="B165" s="8" t="n">
        <f aca="false">YEAR(A165)</f>
        <v>2021</v>
      </c>
      <c r="C165" s="8" t="n">
        <f aca="false">MONTH(A165)</f>
        <v>7</v>
      </c>
      <c r="D165" s="8" t="s">
        <v>36</v>
      </c>
      <c r="E165" s="9" t="n">
        <v>15872.2</v>
      </c>
      <c r="F165" s="10" t="n">
        <v>12.59</v>
      </c>
      <c r="G165" s="11" t="n">
        <v>60.1</v>
      </c>
      <c r="H165" s="4" t="n">
        <v>1254</v>
      </c>
      <c r="I165" s="8" t="n">
        <v>1</v>
      </c>
      <c r="J165" s="11" t="n">
        <v>58.7</v>
      </c>
      <c r="K165" s="4" t="n">
        <v>1446</v>
      </c>
      <c r="L165" s="8" t="n">
        <v>1</v>
      </c>
      <c r="M165" s="11" t="n">
        <v>55.6</v>
      </c>
      <c r="N165" s="4" t="n">
        <v>1184</v>
      </c>
      <c r="O165" s="8" t="n">
        <v>1</v>
      </c>
      <c r="P165" s="4" t="n">
        <f aca="false">H165+K165+N165</f>
        <v>3884</v>
      </c>
      <c r="Q165" s="4" t="n">
        <f aca="false">Q164+P165</f>
        <v>329203</v>
      </c>
      <c r="R165" s="4" t="n">
        <f aca="false">Q165-MAX(0,MAX($Q$2:Q165))</f>
        <v>0</v>
      </c>
    </row>
    <row r="166" customFormat="false" ht="15" hidden="false" customHeight="false" outlineLevel="0" collapsed="false">
      <c r="A166" s="7" t="n">
        <v>44399</v>
      </c>
      <c r="B166" s="8" t="n">
        <f aca="false">YEAR(A166)</f>
        <v>2021</v>
      </c>
      <c r="C166" s="8" t="n">
        <f aca="false">MONTH(A166)</f>
        <v>7</v>
      </c>
      <c r="D166" s="8" t="s">
        <v>36</v>
      </c>
      <c r="E166" s="9" t="n">
        <v>15736.6</v>
      </c>
      <c r="F166" s="10" t="n">
        <v>13.21</v>
      </c>
      <c r="G166" s="11" t="n">
        <v>82.8</v>
      </c>
      <c r="H166" s="4" t="n">
        <v>794</v>
      </c>
      <c r="I166" s="8" t="n">
        <v>1</v>
      </c>
      <c r="J166" s="11" t="n">
        <v>79.6</v>
      </c>
      <c r="K166" s="4" t="n">
        <v>1875</v>
      </c>
      <c r="L166" s="8" t="n">
        <v>1</v>
      </c>
      <c r="M166" s="11" t="n">
        <v>75.5</v>
      </c>
      <c r="N166" s="4" t="n">
        <v>1496</v>
      </c>
      <c r="O166" s="8" t="n">
        <v>1</v>
      </c>
      <c r="P166" s="4" t="n">
        <f aca="false">H166+K166+N166</f>
        <v>4165</v>
      </c>
      <c r="Q166" s="4" t="n">
        <f aca="false">Q165+P166</f>
        <v>333368</v>
      </c>
      <c r="R166" s="4" t="n">
        <f aca="false">Q166-MAX(0,MAX($Q$2:Q166))</f>
        <v>0</v>
      </c>
    </row>
    <row r="167" customFormat="false" ht="15" hidden="false" customHeight="false" outlineLevel="0" collapsed="false">
      <c r="A167" s="7" t="n">
        <v>44406</v>
      </c>
      <c r="B167" s="8" t="n">
        <f aca="false">YEAR(A167)</f>
        <v>2021</v>
      </c>
      <c r="C167" s="8" t="n">
        <f aca="false">MONTH(A167)</f>
        <v>7</v>
      </c>
      <c r="D167" s="8" t="s">
        <v>36</v>
      </c>
      <c r="E167" s="9" t="n">
        <v>15762.7</v>
      </c>
      <c r="F167" s="10" t="n">
        <v>13.69</v>
      </c>
      <c r="G167" s="11" t="n">
        <v>69.1</v>
      </c>
      <c r="H167" s="4" t="n">
        <v>1203</v>
      </c>
      <c r="I167" s="8" t="n">
        <v>1</v>
      </c>
      <c r="J167" s="11" t="n">
        <v>70.3</v>
      </c>
      <c r="K167" s="4" t="n">
        <v>-1663</v>
      </c>
      <c r="L167" s="8" t="n">
        <v>2</v>
      </c>
      <c r="M167" s="11" t="n">
        <v>66.6</v>
      </c>
      <c r="N167" s="4" t="n">
        <v>237</v>
      </c>
      <c r="O167" s="8" t="n">
        <v>1</v>
      </c>
      <c r="P167" s="4" t="n">
        <f aca="false">H167+K167+N167</f>
        <v>-223</v>
      </c>
      <c r="Q167" s="4" t="n">
        <f aca="false">Q166+P167</f>
        <v>333145</v>
      </c>
      <c r="R167" s="4" t="n">
        <f aca="false">Q167-MAX(0,MAX($Q$2:Q167))</f>
        <v>-223</v>
      </c>
    </row>
    <row r="168" customFormat="false" ht="15" hidden="false" customHeight="false" outlineLevel="0" collapsed="false">
      <c r="A168" s="7" t="n">
        <v>44413</v>
      </c>
      <c r="B168" s="8" t="n">
        <f aca="false">YEAR(A168)</f>
        <v>2021</v>
      </c>
      <c r="C168" s="8" t="n">
        <f aca="false">MONTH(A168)</f>
        <v>8</v>
      </c>
      <c r="D168" s="8" t="s">
        <v>36</v>
      </c>
      <c r="E168" s="9" t="n">
        <v>16289</v>
      </c>
      <c r="F168" s="10" t="n">
        <v>13.21</v>
      </c>
      <c r="G168" s="11" t="n">
        <v>93.4</v>
      </c>
      <c r="H168" s="4" t="n">
        <v>1591</v>
      </c>
      <c r="I168" s="8" t="n">
        <v>1</v>
      </c>
      <c r="J168" s="11" t="n">
        <v>90.7</v>
      </c>
      <c r="K168" s="4" t="n">
        <v>-2080</v>
      </c>
      <c r="L168" s="8" t="n">
        <v>2</v>
      </c>
      <c r="M168" s="11" t="n">
        <v>86.8</v>
      </c>
      <c r="N168" s="4" t="n">
        <v>2155</v>
      </c>
      <c r="O168" s="8" t="n">
        <v>1</v>
      </c>
      <c r="P168" s="4" t="n">
        <f aca="false">H168+K168+N168</f>
        <v>1666</v>
      </c>
      <c r="Q168" s="4" t="n">
        <f aca="false">Q167+P168</f>
        <v>334811</v>
      </c>
      <c r="R168" s="4" t="n">
        <f aca="false">Q168-MAX(0,MAX($Q$2:Q168))</f>
        <v>0</v>
      </c>
    </row>
    <row r="169" customFormat="false" ht="15" hidden="false" customHeight="false" outlineLevel="0" collapsed="false">
      <c r="A169" s="7" t="n">
        <v>44420</v>
      </c>
      <c r="B169" s="8" t="n">
        <f aca="false">YEAR(A169)</f>
        <v>2021</v>
      </c>
      <c r="C169" s="8" t="n">
        <f aca="false">MONTH(A169)</f>
        <v>8</v>
      </c>
      <c r="D169" s="8" t="s">
        <v>36</v>
      </c>
      <c r="E169" s="9" t="n">
        <v>16303.6</v>
      </c>
      <c r="F169" s="10" t="n">
        <v>12.71</v>
      </c>
      <c r="G169" s="11" t="n">
        <v>77.4</v>
      </c>
      <c r="H169" s="4" t="n">
        <v>1215</v>
      </c>
      <c r="I169" s="8" t="n">
        <v>1</v>
      </c>
      <c r="J169" s="11" t="n">
        <v>76.3</v>
      </c>
      <c r="K169" s="4" t="n">
        <v>3609</v>
      </c>
      <c r="L169" s="8" t="n">
        <v>0</v>
      </c>
      <c r="M169" s="11" t="n">
        <v>72.4</v>
      </c>
      <c r="N169" s="4" t="n">
        <v>3350</v>
      </c>
      <c r="O169" s="8" t="n">
        <v>0</v>
      </c>
      <c r="P169" s="4" t="n">
        <f aca="false">H169+K169+N169</f>
        <v>8174</v>
      </c>
      <c r="Q169" s="4" t="n">
        <f aca="false">Q168+P169</f>
        <v>342985</v>
      </c>
      <c r="R169" s="4" t="n">
        <f aca="false">Q169-MAX(0,MAX($Q$2:Q169))</f>
        <v>0</v>
      </c>
    </row>
    <row r="170" customFormat="false" ht="15" hidden="false" customHeight="false" outlineLevel="0" collapsed="false">
      <c r="A170" s="7" t="n">
        <v>44426</v>
      </c>
      <c r="B170" s="8" t="n">
        <f aca="false">YEAR(A170)</f>
        <v>2021</v>
      </c>
      <c r="C170" s="8" t="n">
        <f aca="false">MONTH(A170)</f>
        <v>8</v>
      </c>
      <c r="D170" s="8" t="s">
        <v>37</v>
      </c>
      <c r="E170" s="9" t="n">
        <v>16692</v>
      </c>
      <c r="F170" s="10" t="n">
        <v>13.41</v>
      </c>
      <c r="G170" s="11" t="n">
        <v>105.6</v>
      </c>
      <c r="H170" s="4" t="n">
        <v>3121</v>
      </c>
      <c r="I170" s="8" t="n">
        <v>1</v>
      </c>
      <c r="J170" s="11" t="n">
        <v>101.8</v>
      </c>
      <c r="K170" s="4" t="n">
        <v>1391</v>
      </c>
      <c r="L170" s="8" t="n">
        <v>1</v>
      </c>
      <c r="M170" s="11" t="n">
        <v>96.3</v>
      </c>
      <c r="N170" s="4" t="n">
        <v>1813</v>
      </c>
      <c r="O170" s="8" t="n">
        <v>1</v>
      </c>
      <c r="P170" s="4" t="n">
        <f aca="false">H170+K170+N170</f>
        <v>6325</v>
      </c>
      <c r="Q170" s="4" t="n">
        <f aca="false">Q169+P170</f>
        <v>349310</v>
      </c>
      <c r="R170" s="4" t="n">
        <f aca="false">Q170-MAX(0,MAX($Q$2:Q170))</f>
        <v>0</v>
      </c>
    </row>
    <row r="171" customFormat="false" ht="15" hidden="false" customHeight="false" outlineLevel="0" collapsed="false">
      <c r="A171" s="7" t="n">
        <v>44434</v>
      </c>
      <c r="B171" s="8" t="n">
        <f aca="false">YEAR(A171)</f>
        <v>2021</v>
      </c>
      <c r="C171" s="8" t="n">
        <f aca="false">MONTH(A171)</f>
        <v>8</v>
      </c>
      <c r="D171" s="8" t="s">
        <v>36</v>
      </c>
      <c r="E171" s="9" t="n">
        <v>16628</v>
      </c>
      <c r="F171" s="10" t="n">
        <v>13.5</v>
      </c>
      <c r="G171" s="11" t="n">
        <v>94.1</v>
      </c>
      <c r="H171" s="4" t="n">
        <v>2121</v>
      </c>
      <c r="I171" s="8" t="n">
        <v>1</v>
      </c>
      <c r="J171" s="11" t="n">
        <v>92.6</v>
      </c>
      <c r="K171" s="4" t="n">
        <v>2461</v>
      </c>
      <c r="L171" s="8" t="n">
        <v>1</v>
      </c>
      <c r="M171" s="11" t="n">
        <v>88.3</v>
      </c>
      <c r="N171" s="4" t="n">
        <v>2356</v>
      </c>
      <c r="O171" s="8" t="n">
        <v>1</v>
      </c>
      <c r="P171" s="4" t="n">
        <f aca="false">H171+K171+N171</f>
        <v>6938</v>
      </c>
      <c r="Q171" s="4" t="n">
        <f aca="false">Q170+P171</f>
        <v>356248</v>
      </c>
      <c r="R171" s="4" t="n">
        <f aca="false">Q171-MAX(0,MAX($Q$2:Q171))</f>
        <v>0</v>
      </c>
    </row>
    <row r="172" customFormat="false" ht="15" hidden="false" customHeight="false" outlineLevel="0" collapsed="false">
      <c r="A172" s="7" t="n">
        <v>44441</v>
      </c>
      <c r="B172" s="8" t="n">
        <f aca="false">YEAR(A172)</f>
        <v>2021</v>
      </c>
      <c r="C172" s="8" t="n">
        <f aca="false">MONTH(A172)</f>
        <v>9</v>
      </c>
      <c r="D172" s="8" t="s">
        <v>36</v>
      </c>
      <c r="E172" s="9" t="n">
        <v>17095.4</v>
      </c>
      <c r="F172" s="10" t="n">
        <v>14.19</v>
      </c>
      <c r="G172" s="11" t="n">
        <v>81.6</v>
      </c>
      <c r="H172" s="4" t="n">
        <v>824</v>
      </c>
      <c r="I172" s="8" t="n">
        <v>1</v>
      </c>
      <c r="J172" s="11" t="n">
        <v>79.4</v>
      </c>
      <c r="K172" s="4" t="n">
        <v>2305</v>
      </c>
      <c r="L172" s="8" t="n">
        <v>1</v>
      </c>
      <c r="M172" s="11" t="n">
        <v>76.1</v>
      </c>
      <c r="N172" s="4" t="n">
        <v>579</v>
      </c>
      <c r="O172" s="8" t="n">
        <v>1</v>
      </c>
      <c r="P172" s="4" t="n">
        <f aca="false">H172+K172+N172</f>
        <v>3708</v>
      </c>
      <c r="Q172" s="4" t="n">
        <f aca="false">Q171+P172</f>
        <v>359956</v>
      </c>
      <c r="R172" s="4" t="n">
        <f aca="false">Q172-MAX(0,MAX($Q$2:Q172))</f>
        <v>0</v>
      </c>
    </row>
    <row r="173" customFormat="false" ht="15" hidden="false" customHeight="false" outlineLevel="0" collapsed="false">
      <c r="A173" s="7" t="n">
        <v>44448</v>
      </c>
      <c r="B173" s="8" t="n">
        <f aca="false">YEAR(A173)</f>
        <v>2021</v>
      </c>
      <c r="C173" s="8" t="n">
        <f aca="false">MONTH(A173)</f>
        <v>9</v>
      </c>
      <c r="D173" s="8" t="s">
        <v>36</v>
      </c>
      <c r="E173" s="9" t="n">
        <v>17312.8</v>
      </c>
      <c r="F173" s="10" t="n">
        <v>14.41</v>
      </c>
      <c r="G173" s="11" t="n">
        <v>80.8</v>
      </c>
      <c r="H173" s="4" t="n">
        <v>435</v>
      </c>
      <c r="I173" s="8" t="n">
        <v>1</v>
      </c>
      <c r="J173" s="11" t="n">
        <v>77.2</v>
      </c>
      <c r="K173" s="4" t="n">
        <v>2092</v>
      </c>
      <c r="L173" s="8" t="n">
        <v>1</v>
      </c>
      <c r="M173" s="11" t="n">
        <v>72.3</v>
      </c>
      <c r="N173" s="4" t="n">
        <v>430</v>
      </c>
      <c r="O173" s="8" t="n">
        <v>1</v>
      </c>
      <c r="P173" s="4" t="n">
        <f aca="false">H173+K173+N173</f>
        <v>2957</v>
      </c>
      <c r="Q173" s="4" t="n">
        <f aca="false">Q172+P173</f>
        <v>362913</v>
      </c>
      <c r="R173" s="4" t="n">
        <f aca="false">Q173-MAX(0,MAX($Q$2:Q173))</f>
        <v>0</v>
      </c>
    </row>
    <row r="174" customFormat="false" ht="15" hidden="false" customHeight="false" outlineLevel="0" collapsed="false">
      <c r="A174" s="7" t="n">
        <v>44455</v>
      </c>
      <c r="B174" s="8" t="n">
        <f aca="false">YEAR(A174)</f>
        <v>2021</v>
      </c>
      <c r="C174" s="8" t="n">
        <f aca="false">MONTH(A174)</f>
        <v>9</v>
      </c>
      <c r="D174" s="8" t="s">
        <v>36</v>
      </c>
      <c r="E174" s="9" t="n">
        <v>17539.2</v>
      </c>
      <c r="F174" s="10" t="n">
        <v>13.73</v>
      </c>
      <c r="G174" s="11" t="n">
        <v>55.8</v>
      </c>
      <c r="H174" s="4" t="n">
        <v>-1366</v>
      </c>
      <c r="I174" s="8" t="n">
        <v>2</v>
      </c>
      <c r="J174" s="11" t="n">
        <v>54.2</v>
      </c>
      <c r="K174" s="4" t="n">
        <v>1579</v>
      </c>
      <c r="L174" s="8" t="n">
        <v>1</v>
      </c>
      <c r="M174" s="11" t="n">
        <v>50.8</v>
      </c>
      <c r="N174" s="4" t="n">
        <v>-1263</v>
      </c>
      <c r="O174" s="8" t="n">
        <v>2</v>
      </c>
      <c r="P174" s="4" t="n">
        <f aca="false">H174+K174+N174</f>
        <v>-1050</v>
      </c>
      <c r="Q174" s="4" t="n">
        <f aca="false">Q173+P174</f>
        <v>361863</v>
      </c>
      <c r="R174" s="4" t="n">
        <f aca="false">Q174-MAX(0,MAX($Q$2:Q174))</f>
        <v>-1050</v>
      </c>
    </row>
    <row r="175" customFormat="false" ht="15" hidden="false" customHeight="false" outlineLevel="0" collapsed="false">
      <c r="A175" s="7" t="n">
        <v>44462</v>
      </c>
      <c r="B175" s="8" t="n">
        <f aca="false">YEAR(A175)</f>
        <v>2021</v>
      </c>
      <c r="C175" s="8" t="n">
        <f aca="false">MONTH(A175)</f>
        <v>9</v>
      </c>
      <c r="D175" s="8" t="s">
        <v>36</v>
      </c>
      <c r="E175" s="9" t="n">
        <v>17670.8</v>
      </c>
      <c r="F175" s="10" t="n">
        <v>16.49</v>
      </c>
      <c r="G175" s="11" t="n">
        <v>93.2</v>
      </c>
      <c r="H175" s="4" t="n">
        <v>2385</v>
      </c>
      <c r="I175" s="8" t="n">
        <v>1</v>
      </c>
      <c r="J175" s="11" t="n">
        <v>90.9</v>
      </c>
      <c r="K175" s="4" t="n">
        <v>1081</v>
      </c>
      <c r="L175" s="8" t="n">
        <v>1</v>
      </c>
      <c r="M175" s="11" t="n">
        <v>86.7</v>
      </c>
      <c r="N175" s="4" t="n">
        <v>1010</v>
      </c>
      <c r="O175" s="8" t="n">
        <v>1</v>
      </c>
      <c r="P175" s="4" t="n">
        <f aca="false">H175+K175+N175</f>
        <v>4476</v>
      </c>
      <c r="Q175" s="4" t="n">
        <f aca="false">Q174+P175</f>
        <v>366339</v>
      </c>
      <c r="R175" s="4" t="n">
        <f aca="false">Q175-MAX(0,MAX($Q$2:Q175))</f>
        <v>0</v>
      </c>
    </row>
    <row r="176" customFormat="false" ht="15" hidden="false" customHeight="false" outlineLevel="0" collapsed="false">
      <c r="A176" s="7" t="n">
        <v>44469</v>
      </c>
      <c r="B176" s="8" t="n">
        <f aca="false">YEAR(A176)</f>
        <v>2021</v>
      </c>
      <c r="C176" s="8" t="n">
        <f aca="false">MONTH(A176)</f>
        <v>9</v>
      </c>
      <c r="D176" s="8" t="s">
        <v>36</v>
      </c>
      <c r="E176" s="9" t="n">
        <v>17718.9</v>
      </c>
      <c r="F176" s="10" t="n">
        <v>18.84</v>
      </c>
      <c r="G176" s="11" t="n">
        <v>122</v>
      </c>
      <c r="H176" s="4" t="n">
        <v>3084</v>
      </c>
      <c r="I176" s="8" t="n">
        <v>1</v>
      </c>
      <c r="J176" s="11" t="n">
        <v>118</v>
      </c>
      <c r="K176" s="4" t="n">
        <v>2702</v>
      </c>
      <c r="L176" s="8" t="n">
        <v>1</v>
      </c>
      <c r="M176" s="11" t="n">
        <v>112.2</v>
      </c>
      <c r="N176" s="4" t="n">
        <v>2254</v>
      </c>
      <c r="O176" s="8" t="n">
        <v>1</v>
      </c>
      <c r="P176" s="4" t="n">
        <f aca="false">H176+K176+N176</f>
        <v>8040</v>
      </c>
      <c r="Q176" s="4" t="n">
        <f aca="false">Q175+P176</f>
        <v>374379</v>
      </c>
      <c r="R176" s="4" t="n">
        <f aca="false">Q176-MAX(0,MAX($Q$2:Q176))</f>
        <v>0</v>
      </c>
    </row>
    <row r="177" customFormat="false" ht="15" hidden="false" customHeight="false" outlineLevel="0" collapsed="false">
      <c r="A177" s="7" t="n">
        <v>44476</v>
      </c>
      <c r="B177" s="8" t="n">
        <f aca="false">YEAR(A177)</f>
        <v>2021</v>
      </c>
      <c r="C177" s="8" t="n">
        <f aca="false">MONTH(A177)</f>
        <v>10</v>
      </c>
      <c r="D177" s="8" t="s">
        <v>36</v>
      </c>
      <c r="E177" s="9" t="n">
        <v>17810.6</v>
      </c>
      <c r="F177" s="10" t="n">
        <v>17.33</v>
      </c>
      <c r="G177" s="11" t="n">
        <v>125.7</v>
      </c>
      <c r="H177" s="4" t="n">
        <v>6180</v>
      </c>
      <c r="I177" s="8" t="n">
        <v>0</v>
      </c>
      <c r="J177" s="11" t="n">
        <v>120.7</v>
      </c>
      <c r="K177" s="4" t="n">
        <v>1348</v>
      </c>
      <c r="L177" s="8" t="n">
        <v>1</v>
      </c>
      <c r="M177" s="11" t="n">
        <v>115.5</v>
      </c>
      <c r="N177" s="4" t="n">
        <v>5519</v>
      </c>
      <c r="O177" s="8" t="n">
        <v>0</v>
      </c>
      <c r="P177" s="4" t="n">
        <f aca="false">H177+K177+N177</f>
        <v>13047</v>
      </c>
      <c r="Q177" s="4" t="n">
        <f aca="false">Q176+P177</f>
        <v>387426</v>
      </c>
      <c r="R177" s="4" t="n">
        <f aca="false">Q177-MAX(0,MAX($Q$2:Q177))</f>
        <v>0</v>
      </c>
    </row>
    <row r="178" customFormat="false" ht="15" hidden="false" customHeight="false" outlineLevel="0" collapsed="false">
      <c r="A178" s="7" t="n">
        <v>44483</v>
      </c>
      <c r="B178" s="8" t="n">
        <f aca="false">YEAR(A178)</f>
        <v>2021</v>
      </c>
      <c r="C178" s="8" t="n">
        <f aca="false">MONTH(A178)</f>
        <v>10</v>
      </c>
      <c r="D178" s="8" t="s">
        <v>36</v>
      </c>
      <c r="E178" s="9" t="n">
        <v>18272.8</v>
      </c>
      <c r="F178" s="10" t="n">
        <v>16.1</v>
      </c>
      <c r="G178" s="11" t="n">
        <v>79.6</v>
      </c>
      <c r="H178" s="4" t="n">
        <v>913</v>
      </c>
      <c r="I178" s="8" t="n">
        <v>1</v>
      </c>
      <c r="J178" s="11" t="n">
        <v>77.2</v>
      </c>
      <c r="K178" s="4" t="n">
        <v>2027</v>
      </c>
      <c r="L178" s="8" t="n">
        <v>1</v>
      </c>
      <c r="M178" s="11" t="n">
        <v>74.4</v>
      </c>
      <c r="N178" s="4" t="n">
        <v>2214</v>
      </c>
      <c r="O178" s="8" t="n">
        <v>1</v>
      </c>
      <c r="P178" s="4" t="n">
        <f aca="false">H178+K178+N178</f>
        <v>5154</v>
      </c>
      <c r="Q178" s="4" t="n">
        <f aca="false">Q177+P178</f>
        <v>392580</v>
      </c>
      <c r="R178" s="4" t="n">
        <f aca="false">Q178-MAX(0,MAX($Q$2:Q178))</f>
        <v>0</v>
      </c>
    </row>
    <row r="179" customFormat="false" ht="15" hidden="false" customHeight="false" outlineLevel="0" collapsed="false">
      <c r="A179" s="7" t="n">
        <v>44490</v>
      </c>
      <c r="B179" s="8" t="n">
        <f aca="false">YEAR(A179)</f>
        <v>2021</v>
      </c>
      <c r="C179" s="8" t="n">
        <f aca="false">MONTH(A179)</f>
        <v>10</v>
      </c>
      <c r="D179" s="8" t="s">
        <v>36</v>
      </c>
      <c r="E179" s="9" t="n">
        <v>18382.7</v>
      </c>
      <c r="F179" s="10" t="n">
        <v>18.31</v>
      </c>
      <c r="G179" s="11" t="n">
        <v>123.2</v>
      </c>
      <c r="H179" s="4" t="n">
        <v>3494</v>
      </c>
      <c r="I179" s="8" t="n">
        <v>1</v>
      </c>
      <c r="J179" s="11" t="n">
        <v>119</v>
      </c>
      <c r="K179" s="4" t="n">
        <v>3151</v>
      </c>
      <c r="L179" s="8" t="n">
        <v>1</v>
      </c>
      <c r="M179" s="11" t="n">
        <v>114.1</v>
      </c>
      <c r="N179" s="4" t="n">
        <v>3205</v>
      </c>
      <c r="O179" s="8" t="n">
        <v>1</v>
      </c>
      <c r="P179" s="4" t="n">
        <f aca="false">H179+K179+N179</f>
        <v>9850</v>
      </c>
      <c r="Q179" s="4" t="n">
        <f aca="false">Q178+P179</f>
        <v>402430</v>
      </c>
      <c r="R179" s="4" t="n">
        <f aca="false">Q179-MAX(0,MAX($Q$2:Q179))</f>
        <v>0</v>
      </c>
    </row>
    <row r="180" customFormat="false" ht="15" hidden="false" customHeight="false" outlineLevel="0" collapsed="false">
      <c r="A180" s="7" t="n">
        <v>44497</v>
      </c>
      <c r="B180" s="8" t="n">
        <f aca="false">YEAR(A180)</f>
        <v>2021</v>
      </c>
      <c r="C180" s="8" t="n">
        <f aca="false">MONTH(A180)</f>
        <v>10</v>
      </c>
      <c r="D180" s="8" t="s">
        <v>36</v>
      </c>
      <c r="E180" s="9" t="n">
        <v>18187.6</v>
      </c>
      <c r="F180" s="10" t="n">
        <v>16.83</v>
      </c>
      <c r="G180" s="11" t="n">
        <v>115.5</v>
      </c>
      <c r="H180" s="4" t="n">
        <v>-2588</v>
      </c>
      <c r="I180" s="8" t="n">
        <v>2</v>
      </c>
      <c r="J180" s="11" t="n">
        <v>112</v>
      </c>
      <c r="K180" s="4" t="n">
        <v>-2517</v>
      </c>
      <c r="L180" s="8" t="n">
        <v>2</v>
      </c>
      <c r="M180" s="11" t="n">
        <v>107.8</v>
      </c>
      <c r="N180" s="4" t="n">
        <v>3350</v>
      </c>
      <c r="O180" s="8" t="n">
        <v>1</v>
      </c>
      <c r="P180" s="4" t="n">
        <f aca="false">H180+K180+N180</f>
        <v>-1755</v>
      </c>
      <c r="Q180" s="4" t="n">
        <f aca="false">Q179+P180</f>
        <v>400675</v>
      </c>
      <c r="R180" s="4" t="n">
        <f aca="false">Q180-MAX(0,MAX($Q$2:Q180))</f>
        <v>-1755</v>
      </c>
    </row>
    <row r="181" customFormat="false" ht="15" hidden="false" customHeight="false" outlineLevel="0" collapsed="false">
      <c r="A181" s="7" t="n">
        <v>44503</v>
      </c>
      <c r="B181" s="8" t="n">
        <f aca="false">YEAR(A181)</f>
        <v>2021</v>
      </c>
      <c r="C181" s="8" t="n">
        <f aca="false">MONTH(A181)</f>
        <v>11</v>
      </c>
      <c r="D181" s="8" t="s">
        <v>37</v>
      </c>
      <c r="E181" s="9" t="n">
        <v>17948</v>
      </c>
      <c r="F181" s="10" t="n">
        <v>17.06</v>
      </c>
      <c r="G181" s="11" t="n">
        <v>144.5</v>
      </c>
      <c r="H181" s="4" t="n">
        <v>4094</v>
      </c>
      <c r="I181" s="8" t="n">
        <v>1</v>
      </c>
      <c r="J181" s="11" t="n">
        <v>139.3</v>
      </c>
      <c r="K181" s="4" t="n">
        <v>3524</v>
      </c>
      <c r="L181" s="8" t="n">
        <v>1</v>
      </c>
      <c r="M181" s="11" t="n">
        <v>133</v>
      </c>
      <c r="N181" s="4" t="n">
        <v>3483</v>
      </c>
      <c r="O181" s="8" t="n">
        <v>1</v>
      </c>
      <c r="P181" s="4" t="n">
        <f aca="false">H181+K181+N181</f>
        <v>11101</v>
      </c>
      <c r="Q181" s="4" t="n">
        <f aca="false">Q180+P181</f>
        <v>411776</v>
      </c>
      <c r="R181" s="4" t="n">
        <f aca="false">Q181-MAX(0,MAX($Q$2:Q181))</f>
        <v>0</v>
      </c>
    </row>
    <row r="182" customFormat="false" ht="15" hidden="false" customHeight="false" outlineLevel="0" collapsed="false">
      <c r="A182" s="7" t="n">
        <v>44511</v>
      </c>
      <c r="B182" s="8" t="n">
        <f aca="false">YEAR(A182)</f>
        <v>2021</v>
      </c>
      <c r="C182" s="8" t="n">
        <f aca="false">MONTH(A182)</f>
        <v>11</v>
      </c>
      <c r="D182" s="8" t="s">
        <v>36</v>
      </c>
      <c r="E182" s="9" t="n">
        <v>17967.4</v>
      </c>
      <c r="F182" s="10" t="n">
        <v>16.31</v>
      </c>
      <c r="G182" s="11" t="n">
        <v>117.2</v>
      </c>
      <c r="H182" s="4" t="n">
        <v>1556</v>
      </c>
      <c r="I182" s="8" t="n">
        <v>1</v>
      </c>
      <c r="J182" s="11" t="n">
        <v>112.6</v>
      </c>
      <c r="K182" s="4" t="n">
        <v>1828</v>
      </c>
      <c r="L182" s="8" t="n">
        <v>1</v>
      </c>
      <c r="M182" s="11" t="n">
        <v>107.1</v>
      </c>
      <c r="N182" s="4" t="n">
        <v>2178</v>
      </c>
      <c r="O182" s="8" t="n">
        <v>1</v>
      </c>
      <c r="P182" s="4" t="n">
        <f aca="false">H182+K182+N182</f>
        <v>5562</v>
      </c>
      <c r="Q182" s="4" t="n">
        <f aca="false">Q181+P182</f>
        <v>417338</v>
      </c>
      <c r="R182" s="4" t="n">
        <f aca="false">Q182-MAX(0,MAX($Q$2:Q182))</f>
        <v>0</v>
      </c>
    </row>
    <row r="183" customFormat="false" ht="15" hidden="false" customHeight="false" outlineLevel="0" collapsed="false">
      <c r="A183" s="7" t="n">
        <v>44518</v>
      </c>
      <c r="B183" s="8" t="n">
        <f aca="false">YEAR(A183)</f>
        <v>2021</v>
      </c>
      <c r="C183" s="8" t="n">
        <f aca="false">MONTH(A183)</f>
        <v>11</v>
      </c>
      <c r="D183" s="8" t="s">
        <v>36</v>
      </c>
      <c r="E183" s="9" t="n">
        <v>17890.6</v>
      </c>
      <c r="F183" s="10" t="n">
        <v>14.98</v>
      </c>
      <c r="G183" s="11" t="n">
        <v>111</v>
      </c>
      <c r="H183" s="4" t="n">
        <v>2584</v>
      </c>
      <c r="I183" s="8" t="n">
        <v>1</v>
      </c>
      <c r="J183" s="11" t="n">
        <v>107.9</v>
      </c>
      <c r="K183" s="4" t="n">
        <v>1640</v>
      </c>
      <c r="L183" s="8" t="n">
        <v>1</v>
      </c>
      <c r="M183" s="11" t="n">
        <v>102.7</v>
      </c>
      <c r="N183" s="4" t="n">
        <v>-2327</v>
      </c>
      <c r="O183" s="8" t="n">
        <v>2</v>
      </c>
      <c r="P183" s="4" t="n">
        <f aca="false">H183+K183+N183</f>
        <v>1897</v>
      </c>
      <c r="Q183" s="4" t="n">
        <f aca="false">Q182+P183</f>
        <v>419235</v>
      </c>
      <c r="R183" s="4" t="n">
        <f aca="false">Q183-MAX(0,MAX($Q$2:Q183))</f>
        <v>0</v>
      </c>
    </row>
    <row r="184" customFormat="false" ht="15" hidden="false" customHeight="false" outlineLevel="0" collapsed="false">
      <c r="A184" s="7" t="n">
        <v>44525</v>
      </c>
      <c r="B184" s="8" t="n">
        <f aca="false">YEAR(A184)</f>
        <v>2021</v>
      </c>
      <c r="C184" s="8" t="n">
        <f aca="false">MONTH(A184)</f>
        <v>11</v>
      </c>
      <c r="D184" s="8" t="s">
        <v>36</v>
      </c>
      <c r="E184" s="9" t="n">
        <v>17417.3</v>
      </c>
      <c r="F184" s="10" t="n">
        <v>17.1</v>
      </c>
      <c r="G184" s="11" t="n">
        <v>90.7</v>
      </c>
      <c r="H184" s="4" t="n">
        <v>-2081</v>
      </c>
      <c r="I184" s="8" t="n">
        <v>2</v>
      </c>
      <c r="J184" s="11" t="n">
        <v>86.6</v>
      </c>
      <c r="K184" s="4" t="n">
        <v>1108</v>
      </c>
      <c r="L184" s="8" t="n">
        <v>1</v>
      </c>
      <c r="M184" s="11" t="n">
        <v>82.5</v>
      </c>
      <c r="N184" s="4" t="n">
        <v>1151</v>
      </c>
      <c r="O184" s="8" t="n">
        <v>1</v>
      </c>
      <c r="P184" s="4" t="n">
        <f aca="false">H184+K184+N184</f>
        <v>178</v>
      </c>
      <c r="Q184" s="4" t="n">
        <f aca="false">Q183+P184</f>
        <v>419413</v>
      </c>
      <c r="R184" s="4" t="n">
        <f aca="false">Q184-MAX(0,MAX($Q$2:Q184))</f>
        <v>0</v>
      </c>
    </row>
    <row r="185" customFormat="false" ht="15" hidden="false" customHeight="false" outlineLevel="0" collapsed="false">
      <c r="A185" s="7" t="n">
        <v>44532</v>
      </c>
      <c r="B185" s="8" t="n">
        <f aca="false">YEAR(A185)</f>
        <v>2021</v>
      </c>
      <c r="C185" s="8" t="n">
        <f aca="false">MONTH(A185)</f>
        <v>12</v>
      </c>
      <c r="D185" s="8" t="s">
        <v>36</v>
      </c>
      <c r="E185" s="9" t="n">
        <v>17183.2</v>
      </c>
      <c r="F185" s="10" t="n">
        <v>19.45</v>
      </c>
      <c r="G185" s="11" t="n">
        <v>134.2</v>
      </c>
      <c r="H185" s="4" t="n">
        <v>2034</v>
      </c>
      <c r="I185" s="8" t="n">
        <v>1</v>
      </c>
      <c r="J185" s="11" t="n">
        <v>129.6</v>
      </c>
      <c r="K185" s="4" t="n">
        <v>2408</v>
      </c>
      <c r="L185" s="8" t="n">
        <v>1</v>
      </c>
      <c r="M185" s="11" t="n">
        <v>124.5</v>
      </c>
      <c r="N185" s="4" t="n">
        <v>3305</v>
      </c>
      <c r="O185" s="8" t="n">
        <v>1</v>
      </c>
      <c r="P185" s="4" t="n">
        <f aca="false">H185+K185+N185</f>
        <v>7747</v>
      </c>
      <c r="Q185" s="4" t="n">
        <f aca="false">Q184+P185</f>
        <v>427160</v>
      </c>
      <c r="R185" s="4" t="n">
        <f aca="false">Q185-MAX(0,MAX($Q$2:Q185))</f>
        <v>0</v>
      </c>
    </row>
    <row r="186" customFormat="false" ht="15" hidden="false" customHeight="false" outlineLevel="0" collapsed="false">
      <c r="A186" s="7" t="n">
        <v>44539</v>
      </c>
      <c r="B186" s="8" t="n">
        <f aca="false">YEAR(A186)</f>
        <v>2021</v>
      </c>
      <c r="C186" s="8" t="n">
        <f aca="false">MONTH(A186)</f>
        <v>12</v>
      </c>
      <c r="D186" s="8" t="s">
        <v>36</v>
      </c>
      <c r="E186" s="9" t="n">
        <v>17524.4</v>
      </c>
      <c r="F186" s="10" t="n">
        <v>17.27</v>
      </c>
      <c r="G186" s="11" t="n">
        <v>90</v>
      </c>
      <c r="H186" s="4" t="n">
        <v>-2066</v>
      </c>
      <c r="I186" s="8" t="n">
        <v>2</v>
      </c>
      <c r="J186" s="11" t="n">
        <v>85.1</v>
      </c>
      <c r="K186" s="4" t="n">
        <v>-1966</v>
      </c>
      <c r="L186" s="8" t="n">
        <v>2</v>
      </c>
      <c r="M186" s="11" t="n">
        <v>80.5</v>
      </c>
      <c r="N186" s="4" t="n">
        <v>1551</v>
      </c>
      <c r="O186" s="8" t="n">
        <v>1</v>
      </c>
      <c r="P186" s="4" t="n">
        <f aca="false">H186+K186+N186</f>
        <v>-2481</v>
      </c>
      <c r="Q186" s="4" t="n">
        <f aca="false">Q185+P186</f>
        <v>424679</v>
      </c>
      <c r="R186" s="4" t="n">
        <f aca="false">Q186-MAX(0,MAX($Q$2:Q186))</f>
        <v>-2481</v>
      </c>
    </row>
    <row r="187" customFormat="false" ht="15" hidden="false" customHeight="false" outlineLevel="0" collapsed="false">
      <c r="A187" s="7" t="n">
        <v>44546</v>
      </c>
      <c r="B187" s="8" t="n">
        <f aca="false">YEAR(A187)</f>
        <v>2021</v>
      </c>
      <c r="C187" s="8" t="n">
        <f aca="false">MONTH(A187)</f>
        <v>12</v>
      </c>
      <c r="D187" s="8" t="s">
        <v>36</v>
      </c>
      <c r="E187" s="9" t="n">
        <v>17373</v>
      </c>
      <c r="F187" s="10" t="n">
        <v>17.22</v>
      </c>
      <c r="G187" s="11" t="n">
        <v>99.5</v>
      </c>
      <c r="H187" s="4" t="n">
        <v>2203</v>
      </c>
      <c r="I187" s="8" t="n">
        <v>1</v>
      </c>
      <c r="J187" s="11" t="n">
        <v>96.3</v>
      </c>
      <c r="K187" s="4" t="n">
        <v>-2195</v>
      </c>
      <c r="L187" s="8" t="n">
        <v>2</v>
      </c>
      <c r="M187" s="11" t="n">
        <v>92</v>
      </c>
      <c r="N187" s="4" t="n">
        <v>-2108</v>
      </c>
      <c r="O187" s="8" t="n">
        <v>2</v>
      </c>
      <c r="P187" s="4" t="n">
        <f aca="false">H187+K187+N187</f>
        <v>-2100</v>
      </c>
      <c r="Q187" s="4" t="n">
        <f aca="false">Q186+P187</f>
        <v>422579</v>
      </c>
      <c r="R187" s="4" t="n">
        <f aca="false">Q187-MAX(0,MAX($Q$2:Q187))</f>
        <v>-4581</v>
      </c>
    </row>
    <row r="188" customFormat="false" ht="15" hidden="false" customHeight="false" outlineLevel="0" collapsed="false">
      <c r="A188" s="7" t="n">
        <v>44553</v>
      </c>
      <c r="B188" s="8" t="n">
        <f aca="false">YEAR(A188)</f>
        <v>2021</v>
      </c>
      <c r="C188" s="8" t="n">
        <f aca="false">MONTH(A188)</f>
        <v>12</v>
      </c>
      <c r="D188" s="8" t="s">
        <v>36</v>
      </c>
      <c r="E188" s="9" t="n">
        <v>17066.8</v>
      </c>
      <c r="F188" s="10" t="n">
        <v>16.58</v>
      </c>
      <c r="G188" s="11" t="n">
        <v>111.4</v>
      </c>
      <c r="H188" s="4" t="n">
        <v>1640</v>
      </c>
      <c r="I188" s="8" t="n">
        <v>1</v>
      </c>
      <c r="J188" s="11" t="n">
        <v>108.3</v>
      </c>
      <c r="K188" s="4" t="n">
        <v>1405</v>
      </c>
      <c r="L188" s="8" t="n">
        <v>1</v>
      </c>
      <c r="M188" s="11" t="n">
        <v>102.7</v>
      </c>
      <c r="N188" s="4" t="n">
        <v>-2327</v>
      </c>
      <c r="O188" s="8" t="n">
        <v>2</v>
      </c>
      <c r="P188" s="4" t="n">
        <f aca="false">H188+K188+N188</f>
        <v>718</v>
      </c>
      <c r="Q188" s="4" t="n">
        <f aca="false">Q187+P188</f>
        <v>423297</v>
      </c>
      <c r="R188" s="4" t="n">
        <f aca="false">Q188-MAX(0,MAX($Q$2:Q188))</f>
        <v>-3863</v>
      </c>
    </row>
    <row r="189" customFormat="false" ht="15" hidden="false" customHeight="false" outlineLevel="0" collapsed="false">
      <c r="A189" s="7" t="n">
        <v>44560</v>
      </c>
      <c r="B189" s="8" t="n">
        <f aca="false">YEAR(A189)</f>
        <v>2021</v>
      </c>
      <c r="C189" s="8" t="n">
        <f aca="false">MONTH(A189)</f>
        <v>12</v>
      </c>
      <c r="D189" s="8" t="s">
        <v>36</v>
      </c>
      <c r="E189" s="9" t="n">
        <v>17201.4</v>
      </c>
      <c r="F189" s="10" t="n">
        <v>16.24</v>
      </c>
      <c r="G189" s="11" t="n">
        <v>114.9</v>
      </c>
      <c r="H189" s="4" t="n">
        <v>830</v>
      </c>
      <c r="I189" s="8" t="n">
        <v>1</v>
      </c>
      <c r="J189" s="11" t="n">
        <v>110.3</v>
      </c>
      <c r="K189" s="4" t="n">
        <v>4240</v>
      </c>
      <c r="L189" s="8" t="n">
        <v>0</v>
      </c>
      <c r="M189" s="11" t="n">
        <v>105.1</v>
      </c>
      <c r="N189" s="4" t="n">
        <v>2309</v>
      </c>
      <c r="O189" s="8" t="n">
        <v>1</v>
      </c>
      <c r="P189" s="4" t="n">
        <f aca="false">H189+K189+N189</f>
        <v>7379</v>
      </c>
      <c r="Q189" s="4" t="n">
        <f aca="false">Q188+P189</f>
        <v>430676</v>
      </c>
      <c r="R189" s="4" t="n">
        <f aca="false">Q189-MAX(0,MAX($Q$2:Q189))</f>
        <v>0</v>
      </c>
    </row>
    <row r="190" customFormat="false" ht="15" hidden="false" customHeight="false" outlineLevel="0" collapsed="false">
      <c r="A190" s="7" t="n">
        <v>44567</v>
      </c>
      <c r="B190" s="8" t="n">
        <f aca="false">YEAR(A190)</f>
        <v>2022</v>
      </c>
      <c r="C190" s="8" t="n">
        <f aca="false">MONTH(A190)</f>
        <v>1</v>
      </c>
      <c r="D190" s="8" t="s">
        <v>36</v>
      </c>
      <c r="E190" s="9" t="n">
        <v>17768.5</v>
      </c>
      <c r="F190" s="10" t="n">
        <v>17.23</v>
      </c>
      <c r="G190" s="11" t="n">
        <v>124.2</v>
      </c>
      <c r="H190" s="4" t="n">
        <v>1163</v>
      </c>
      <c r="I190" s="8" t="n">
        <v>1</v>
      </c>
      <c r="J190" s="11" t="n">
        <v>120</v>
      </c>
      <c r="K190" s="4" t="n">
        <v>1421</v>
      </c>
      <c r="L190" s="8" t="n">
        <v>1</v>
      </c>
      <c r="M190" s="11" t="n">
        <v>113.7</v>
      </c>
      <c r="N190" s="4" t="n">
        <v>-2553</v>
      </c>
      <c r="O190" s="8" t="n">
        <v>2</v>
      </c>
      <c r="P190" s="4" t="n">
        <f aca="false">H190+K190+N190</f>
        <v>31</v>
      </c>
      <c r="Q190" s="4" t="n">
        <f aca="false">Q189+P190</f>
        <v>430707</v>
      </c>
      <c r="R190" s="4" t="n">
        <f aca="false">Q190-MAX(0,MAX($Q$2:Q190))</f>
        <v>0</v>
      </c>
    </row>
    <row r="191" customFormat="false" ht="15" hidden="false" customHeight="false" outlineLevel="0" collapsed="false">
      <c r="A191" s="7" t="n">
        <v>44574</v>
      </c>
      <c r="B191" s="8" t="n">
        <f aca="false">YEAR(A191)</f>
        <v>2022</v>
      </c>
      <c r="C191" s="8" t="n">
        <f aca="false">MONTH(A191)</f>
        <v>1</v>
      </c>
      <c r="D191" s="8" t="s">
        <v>36</v>
      </c>
      <c r="E191" s="9" t="n">
        <v>18257</v>
      </c>
      <c r="F191" s="10" t="n">
        <v>17.18</v>
      </c>
      <c r="G191" s="11" t="n">
        <v>91.8</v>
      </c>
      <c r="H191" s="4" t="n">
        <v>1231</v>
      </c>
      <c r="I191" s="8" t="n">
        <v>1</v>
      </c>
      <c r="J191" s="11" t="n">
        <v>88</v>
      </c>
      <c r="K191" s="4" t="n">
        <v>-2026</v>
      </c>
      <c r="L191" s="8" t="n">
        <v>2</v>
      </c>
      <c r="M191" s="11" t="n">
        <v>83.3</v>
      </c>
      <c r="N191" s="4" t="n">
        <v>-1930</v>
      </c>
      <c r="O191" s="8" t="n">
        <v>2</v>
      </c>
      <c r="P191" s="4" t="n">
        <f aca="false">H191+K191+N191</f>
        <v>-2725</v>
      </c>
      <c r="Q191" s="4" t="n">
        <f aca="false">Q190+P191</f>
        <v>427982</v>
      </c>
      <c r="R191" s="4" t="n">
        <f aca="false">Q191-MAX(0,MAX($Q$2:Q191))</f>
        <v>-2725</v>
      </c>
    </row>
    <row r="192" customFormat="false" ht="15" hidden="false" customHeight="false" outlineLevel="0" collapsed="false">
      <c r="A192" s="7" t="n">
        <v>44581</v>
      </c>
      <c r="B192" s="8" t="n">
        <f aca="false">YEAR(A192)</f>
        <v>2022</v>
      </c>
      <c r="C192" s="8" t="n">
        <f aca="false">MONTH(A192)</f>
        <v>1</v>
      </c>
      <c r="D192" s="8" t="s">
        <v>36</v>
      </c>
      <c r="E192" s="9" t="n">
        <v>17921</v>
      </c>
      <c r="F192" s="10" t="n">
        <v>17.82</v>
      </c>
      <c r="G192" s="11" t="n">
        <v>130.1</v>
      </c>
      <c r="H192" s="4" t="n">
        <v>3302</v>
      </c>
      <c r="I192" s="8" t="n">
        <v>1</v>
      </c>
      <c r="J192" s="11" t="n">
        <v>125.6</v>
      </c>
      <c r="K192" s="4" t="n">
        <v>2965</v>
      </c>
      <c r="L192" s="8" t="n">
        <v>1</v>
      </c>
      <c r="M192" s="11" t="n">
        <v>120.3</v>
      </c>
      <c r="N192" s="4" t="n">
        <v>1657</v>
      </c>
      <c r="O192" s="8" t="n">
        <v>1</v>
      </c>
      <c r="P192" s="4" t="n">
        <f aca="false">H192+K192+N192</f>
        <v>7924</v>
      </c>
      <c r="Q192" s="4" t="n">
        <f aca="false">Q191+P192</f>
        <v>435906</v>
      </c>
      <c r="R192" s="4" t="n">
        <f aca="false">Q192-MAX(0,MAX($Q$2:Q192))</f>
        <v>0</v>
      </c>
    </row>
    <row r="193" customFormat="false" ht="15" hidden="false" customHeight="false" outlineLevel="0" collapsed="false">
      <c r="A193" s="7" t="n">
        <v>44588</v>
      </c>
      <c r="B193" s="8" t="n">
        <f aca="false">YEAR(A193)</f>
        <v>2022</v>
      </c>
      <c r="C193" s="8" t="n">
        <f aca="false">MONTH(A193)</f>
        <v>1</v>
      </c>
      <c r="D193" s="8" t="s">
        <v>36</v>
      </c>
      <c r="E193" s="9" t="n">
        <v>17062</v>
      </c>
      <c r="F193" s="10" t="n">
        <v>21.36</v>
      </c>
      <c r="G193" s="11" t="n">
        <v>142.4</v>
      </c>
      <c r="H193" s="4" t="n">
        <v>-3139</v>
      </c>
      <c r="I193" s="8" t="n">
        <v>2</v>
      </c>
      <c r="J193" s="11" t="n">
        <v>138.9</v>
      </c>
      <c r="K193" s="4" t="n">
        <v>-3067</v>
      </c>
      <c r="L193" s="8" t="n">
        <v>2</v>
      </c>
      <c r="M193" s="11" t="n">
        <v>131.5</v>
      </c>
      <c r="N193" s="4" t="n">
        <v>-2917</v>
      </c>
      <c r="O193" s="8" t="n">
        <v>2</v>
      </c>
      <c r="P193" s="4" t="n">
        <f aca="false">H193+K193+N193</f>
        <v>-9123</v>
      </c>
      <c r="Q193" s="4" t="n">
        <f aca="false">Q192+P193</f>
        <v>426783</v>
      </c>
      <c r="R193" s="4" t="n">
        <f aca="false">Q193-MAX(0,MAX($Q$2:Q193))</f>
        <v>-9123</v>
      </c>
    </row>
    <row r="194" customFormat="false" ht="15" hidden="false" customHeight="false" outlineLevel="0" collapsed="false">
      <c r="A194" s="7" t="n">
        <v>44595</v>
      </c>
      <c r="B194" s="8" t="n">
        <f aca="false">YEAR(A194)</f>
        <v>2022</v>
      </c>
      <c r="C194" s="8" t="n">
        <f aca="false">MONTH(A194)</f>
        <v>2</v>
      </c>
      <c r="D194" s="8" t="s">
        <v>36</v>
      </c>
      <c r="E194" s="9" t="n">
        <v>17767.8</v>
      </c>
      <c r="F194" s="10" t="n">
        <v>18.65</v>
      </c>
      <c r="G194" s="11" t="n">
        <v>78</v>
      </c>
      <c r="H194" s="4" t="n">
        <v>2258</v>
      </c>
      <c r="I194" s="8" t="n">
        <v>1</v>
      </c>
      <c r="J194" s="11" t="n">
        <v>76</v>
      </c>
      <c r="K194" s="4" t="n">
        <v>681</v>
      </c>
      <c r="L194" s="8" t="n">
        <v>1</v>
      </c>
      <c r="M194" s="11" t="n">
        <v>71.1</v>
      </c>
      <c r="N194" s="4" t="n">
        <v>1624</v>
      </c>
      <c r="O194" s="8" t="n">
        <v>1</v>
      </c>
      <c r="P194" s="4" t="n">
        <f aca="false">H194+K194+N194</f>
        <v>4563</v>
      </c>
      <c r="Q194" s="4" t="n">
        <f aca="false">Q193+P194</f>
        <v>431346</v>
      </c>
      <c r="R194" s="4" t="n">
        <f aca="false">Q194-MAX(0,MAX($Q$2:Q194))</f>
        <v>-4560</v>
      </c>
    </row>
    <row r="195" customFormat="false" ht="15" hidden="false" customHeight="false" outlineLevel="0" collapsed="false">
      <c r="A195" s="7" t="n">
        <v>44602</v>
      </c>
      <c r="B195" s="8" t="n">
        <f aca="false">YEAR(A195)</f>
        <v>2022</v>
      </c>
      <c r="C195" s="8" t="n">
        <f aca="false">MONTH(A195)</f>
        <v>2</v>
      </c>
      <c r="D195" s="8" t="s">
        <v>36</v>
      </c>
      <c r="E195" s="9" t="n">
        <v>17554.1</v>
      </c>
      <c r="F195" s="10" t="n">
        <v>18.56</v>
      </c>
      <c r="G195" s="11" t="n">
        <v>107.4</v>
      </c>
      <c r="H195" s="4" t="n">
        <v>1677</v>
      </c>
      <c r="I195" s="8" t="n">
        <v>1</v>
      </c>
      <c r="J195" s="11" t="n">
        <v>104</v>
      </c>
      <c r="K195" s="4" t="n">
        <v>1807</v>
      </c>
      <c r="L195" s="8" t="n">
        <v>1</v>
      </c>
      <c r="M195" s="11" t="n">
        <v>100.1</v>
      </c>
      <c r="N195" s="4" t="n">
        <v>1436</v>
      </c>
      <c r="O195" s="8" t="n">
        <v>1</v>
      </c>
      <c r="P195" s="4" t="n">
        <f aca="false">H195+K195+N195</f>
        <v>4920</v>
      </c>
      <c r="Q195" s="4" t="n">
        <f aca="false">Q194+P195</f>
        <v>436266</v>
      </c>
      <c r="R195" s="4" t="n">
        <f aca="false">Q195-MAX(0,MAX($Q$2:Q195))</f>
        <v>0</v>
      </c>
    </row>
    <row r="196" customFormat="false" ht="15" hidden="false" customHeight="false" outlineLevel="0" collapsed="false">
      <c r="A196" s="7" t="n">
        <v>44609</v>
      </c>
      <c r="B196" s="8" t="n">
        <f aca="false">YEAR(A196)</f>
        <v>2022</v>
      </c>
      <c r="C196" s="8" t="n">
        <f aca="false">MONTH(A196)</f>
        <v>2</v>
      </c>
      <c r="D196" s="8" t="s">
        <v>36</v>
      </c>
      <c r="E196" s="9" t="n">
        <v>17396.6</v>
      </c>
      <c r="F196" s="10" t="n">
        <v>20.59</v>
      </c>
      <c r="G196" s="11" t="n">
        <v>133.8</v>
      </c>
      <c r="H196" s="4" t="n">
        <v>-2963</v>
      </c>
      <c r="I196" s="8" t="n">
        <v>2</v>
      </c>
      <c r="J196" s="11" t="n">
        <v>131.4</v>
      </c>
      <c r="K196" s="4" t="n">
        <v>-2915</v>
      </c>
      <c r="L196" s="8" t="n">
        <v>2</v>
      </c>
      <c r="M196" s="11" t="n">
        <v>124.1</v>
      </c>
      <c r="N196" s="4" t="n">
        <v>1520</v>
      </c>
      <c r="O196" s="8" t="n">
        <v>1</v>
      </c>
      <c r="P196" s="4" t="n">
        <f aca="false">H196+K196+N196</f>
        <v>-4358</v>
      </c>
      <c r="Q196" s="4" t="n">
        <f aca="false">Q195+P196</f>
        <v>431908</v>
      </c>
      <c r="R196" s="4" t="n">
        <f aca="false">Q196-MAX(0,MAX($Q$2:Q196))</f>
        <v>-4358</v>
      </c>
    </row>
    <row r="197" customFormat="false" ht="15" hidden="false" customHeight="false" outlineLevel="0" collapsed="false">
      <c r="A197" s="7" t="n">
        <v>44616</v>
      </c>
      <c r="B197" s="8" t="n">
        <f aca="false">YEAR(A197)</f>
        <v>2022</v>
      </c>
      <c r="C197" s="8" t="n">
        <f aca="false">MONTH(A197)</f>
        <v>2</v>
      </c>
      <c r="D197" s="8" t="s">
        <v>36</v>
      </c>
      <c r="E197" s="9" t="n">
        <v>16548.9</v>
      </c>
      <c r="F197" s="10" t="n">
        <v>24.54</v>
      </c>
      <c r="G197" s="11" t="n">
        <v>209</v>
      </c>
      <c r="H197" s="4" t="n">
        <v>-4502</v>
      </c>
      <c r="I197" s="8" t="n">
        <v>2</v>
      </c>
      <c r="J197" s="11" t="n">
        <v>202.8</v>
      </c>
      <c r="K197" s="4" t="n">
        <v>-4375</v>
      </c>
      <c r="L197" s="8" t="n">
        <v>2</v>
      </c>
      <c r="M197" s="11" t="n">
        <v>193.7</v>
      </c>
      <c r="N197" s="4" t="n">
        <v>-4189</v>
      </c>
      <c r="O197" s="8" t="n">
        <v>2</v>
      </c>
      <c r="P197" s="4" t="n">
        <f aca="false">H197+K197+N197</f>
        <v>-13066</v>
      </c>
      <c r="Q197" s="4" t="n">
        <f aca="false">Q196+P197</f>
        <v>418842</v>
      </c>
      <c r="R197" s="4" t="n">
        <f aca="false">Q197-MAX(0,MAX($Q$2:Q197))</f>
        <v>-17424</v>
      </c>
    </row>
    <row r="198" customFormat="false" ht="15" hidden="false" customHeight="false" outlineLevel="0" collapsed="false">
      <c r="A198" s="7" t="n">
        <v>44623</v>
      </c>
      <c r="B198" s="8" t="n">
        <f aca="false">YEAR(A198)</f>
        <v>2022</v>
      </c>
      <c r="C198" s="8" t="n">
        <f aca="false">MONTH(A198)</f>
        <v>3</v>
      </c>
      <c r="D198" s="8" t="s">
        <v>36</v>
      </c>
      <c r="E198" s="9" t="n">
        <v>16723.2</v>
      </c>
      <c r="F198" s="10" t="n">
        <v>29.23</v>
      </c>
      <c r="G198" s="11" t="n">
        <v>236</v>
      </c>
      <c r="H198" s="4" t="n">
        <v>5460</v>
      </c>
      <c r="I198" s="8" t="n">
        <v>1</v>
      </c>
      <c r="J198" s="11" t="n">
        <v>228.9</v>
      </c>
      <c r="K198" s="4" t="n">
        <v>5000</v>
      </c>
      <c r="L198" s="8" t="n">
        <v>1</v>
      </c>
      <c r="M198" s="11" t="n">
        <v>218.5</v>
      </c>
      <c r="N198" s="4" t="n">
        <v>5457</v>
      </c>
      <c r="O198" s="8" t="n">
        <v>1</v>
      </c>
      <c r="P198" s="4" t="n">
        <f aca="false">H198+K198+N198</f>
        <v>15917</v>
      </c>
      <c r="Q198" s="4" t="n">
        <f aca="false">Q197+P198</f>
        <v>434759</v>
      </c>
      <c r="R198" s="4" t="n">
        <f aca="false">Q198-MAX(0,MAX($Q$2:Q198))</f>
        <v>-1507</v>
      </c>
    </row>
    <row r="199" customFormat="false" ht="15" hidden="false" customHeight="false" outlineLevel="0" collapsed="false">
      <c r="A199" s="7" t="n">
        <v>44630</v>
      </c>
      <c r="B199" s="8" t="n">
        <f aca="false">YEAR(A199)</f>
        <v>2022</v>
      </c>
      <c r="C199" s="8" t="n">
        <f aca="false">MONTH(A199)</f>
        <v>3</v>
      </c>
      <c r="D199" s="8" t="s">
        <v>36</v>
      </c>
      <c r="E199" s="9" t="n">
        <v>16757.1</v>
      </c>
      <c r="F199" s="10" t="n">
        <v>27.47</v>
      </c>
      <c r="G199" s="11" t="n">
        <v>183.5</v>
      </c>
      <c r="H199" s="4" t="n">
        <v>-3980</v>
      </c>
      <c r="I199" s="8" t="n">
        <v>2</v>
      </c>
      <c r="J199" s="11" t="n">
        <v>178.6</v>
      </c>
      <c r="K199" s="4" t="n">
        <v>4106</v>
      </c>
      <c r="L199" s="8" t="n">
        <v>1</v>
      </c>
      <c r="M199" s="11" t="n">
        <v>171.1</v>
      </c>
      <c r="N199" s="4" t="n">
        <v>2722</v>
      </c>
      <c r="O199" s="8" t="n">
        <v>1</v>
      </c>
      <c r="P199" s="4" t="n">
        <f aca="false">H199+K199+N199</f>
        <v>2848</v>
      </c>
      <c r="Q199" s="4" t="n">
        <f aca="false">Q198+P199</f>
        <v>437607</v>
      </c>
      <c r="R199" s="4" t="n">
        <f aca="false">Q199-MAX(0,MAX($Q$2:Q199))</f>
        <v>0</v>
      </c>
    </row>
    <row r="200" customFormat="false" ht="15" hidden="false" customHeight="false" outlineLevel="0" collapsed="false">
      <c r="A200" s="7" t="n">
        <v>44637</v>
      </c>
      <c r="B200" s="8" t="n">
        <f aca="false">YEAR(A200)</f>
        <v>2022</v>
      </c>
      <c r="C200" s="8" t="n">
        <f aca="false">MONTH(A200)</f>
        <v>3</v>
      </c>
      <c r="D200" s="8" t="s">
        <v>36</v>
      </c>
      <c r="E200" s="9" t="n">
        <v>17202.9</v>
      </c>
      <c r="F200" s="10" t="n">
        <v>24.12</v>
      </c>
      <c r="G200" s="11" t="n">
        <v>150.4</v>
      </c>
      <c r="H200" s="4" t="n">
        <v>2940</v>
      </c>
      <c r="I200" s="8" t="n">
        <v>1</v>
      </c>
      <c r="J200" s="11" t="n">
        <v>146.8</v>
      </c>
      <c r="K200" s="4" t="n">
        <v>2100</v>
      </c>
      <c r="L200" s="8" t="n">
        <v>1</v>
      </c>
      <c r="M200" s="11" t="n">
        <v>139.7</v>
      </c>
      <c r="N200" s="4" t="n">
        <v>2034</v>
      </c>
      <c r="O200" s="8" t="n">
        <v>1</v>
      </c>
      <c r="P200" s="4" t="n">
        <f aca="false">H200+K200+N200</f>
        <v>7074</v>
      </c>
      <c r="Q200" s="4" t="n">
        <f aca="false">Q199+P200</f>
        <v>444681</v>
      </c>
      <c r="R200" s="4" t="n">
        <f aca="false">Q200-MAX(0,MAX($Q$2:Q200))</f>
        <v>0</v>
      </c>
    </row>
    <row r="201" customFormat="false" ht="15" hidden="false" customHeight="false" outlineLevel="0" collapsed="false">
      <c r="A201" s="7" t="n">
        <v>44644</v>
      </c>
      <c r="B201" s="8" t="n">
        <f aca="false">YEAR(A201)</f>
        <v>2022</v>
      </c>
      <c r="C201" s="8" t="n">
        <f aca="false">MONTH(A201)</f>
        <v>3</v>
      </c>
      <c r="D201" s="8" t="s">
        <v>36</v>
      </c>
      <c r="E201" s="9" t="n">
        <v>17095</v>
      </c>
      <c r="F201" s="10" t="n">
        <v>24.75</v>
      </c>
      <c r="G201" s="11" t="n">
        <v>151.1</v>
      </c>
      <c r="H201" s="4" t="n">
        <v>2153</v>
      </c>
      <c r="I201" s="8" t="n">
        <v>1</v>
      </c>
      <c r="J201" s="11" t="n">
        <v>147.1</v>
      </c>
      <c r="K201" s="4" t="n">
        <v>3164</v>
      </c>
      <c r="L201" s="8" t="n">
        <v>1</v>
      </c>
      <c r="M201" s="11" t="n">
        <v>140.4</v>
      </c>
      <c r="N201" s="4" t="n">
        <v>-3099</v>
      </c>
      <c r="O201" s="8" t="n">
        <v>2</v>
      </c>
      <c r="P201" s="4" t="n">
        <f aca="false">H201+K201+N201</f>
        <v>2218</v>
      </c>
      <c r="Q201" s="4" t="n">
        <f aca="false">Q200+P201</f>
        <v>446899</v>
      </c>
      <c r="R201" s="4" t="n">
        <f aca="false">Q201-MAX(0,MAX($Q$2:Q201))</f>
        <v>0</v>
      </c>
    </row>
    <row r="202" customFormat="false" ht="15" hidden="false" customHeight="false" outlineLevel="0" collapsed="false">
      <c r="A202" s="7" t="n">
        <v>44651</v>
      </c>
      <c r="B202" s="8" t="n">
        <f aca="false">YEAR(A202)</f>
        <v>2022</v>
      </c>
      <c r="C202" s="8" t="n">
        <f aca="false">MONTH(A202)</f>
        <v>3</v>
      </c>
      <c r="D202" s="8" t="s">
        <v>36</v>
      </c>
      <c r="E202" s="9" t="n">
        <v>17519.2</v>
      </c>
      <c r="F202" s="10" t="n">
        <v>20.61</v>
      </c>
      <c r="G202" s="11" t="n">
        <v>99.3</v>
      </c>
      <c r="H202" s="4" t="n">
        <v>1869</v>
      </c>
      <c r="I202" s="8" t="n">
        <v>1</v>
      </c>
      <c r="J202" s="11" t="n">
        <v>96.5</v>
      </c>
      <c r="K202" s="4" t="n">
        <v>1611</v>
      </c>
      <c r="L202" s="8" t="n">
        <v>1</v>
      </c>
      <c r="M202" s="11" t="n">
        <v>94.4</v>
      </c>
      <c r="N202" s="4" t="n">
        <v>2999</v>
      </c>
      <c r="O202" s="8" t="n">
        <v>1</v>
      </c>
      <c r="P202" s="4" t="n">
        <f aca="false">H202+K202+N202</f>
        <v>6479</v>
      </c>
      <c r="Q202" s="4" t="n">
        <f aca="false">Q201+P202</f>
        <v>453378</v>
      </c>
      <c r="R202" s="4" t="n">
        <f aca="false">Q202-MAX(0,MAX($Q$2:Q202))</f>
        <v>0</v>
      </c>
    </row>
    <row r="203" customFormat="false" ht="15" hidden="false" customHeight="false" outlineLevel="0" collapsed="false">
      <c r="A203" s="7" t="n">
        <v>44658</v>
      </c>
      <c r="B203" s="8" t="n">
        <f aca="false">YEAR(A203)</f>
        <v>2022</v>
      </c>
      <c r="C203" s="8" t="n">
        <f aca="false">MONTH(A203)</f>
        <v>4</v>
      </c>
      <c r="D203" s="8" t="s">
        <v>36</v>
      </c>
      <c r="E203" s="9" t="n">
        <v>17723.3</v>
      </c>
      <c r="F203" s="10" t="n">
        <v>19.02</v>
      </c>
      <c r="G203" s="11" t="n">
        <v>109.7</v>
      </c>
      <c r="H203" s="4" t="n">
        <v>-2469</v>
      </c>
      <c r="I203" s="8" t="n">
        <v>2</v>
      </c>
      <c r="J203" s="11" t="n">
        <v>105.9</v>
      </c>
      <c r="K203" s="4" t="n">
        <v>-2392</v>
      </c>
      <c r="L203" s="8" t="n">
        <v>2</v>
      </c>
      <c r="M203" s="11" t="n">
        <v>100.5</v>
      </c>
      <c r="N203" s="4" t="n">
        <v>-1648</v>
      </c>
      <c r="O203" s="8" t="n">
        <v>1</v>
      </c>
      <c r="P203" s="4" t="n">
        <f aca="false">H203+K203+N203</f>
        <v>-6509</v>
      </c>
      <c r="Q203" s="4" t="n">
        <f aca="false">Q202+P203</f>
        <v>446869</v>
      </c>
      <c r="R203" s="4" t="n">
        <f aca="false">Q203-MAX(0,MAX($Q$2:Q203))</f>
        <v>-6509</v>
      </c>
    </row>
    <row r="204" customFormat="false" ht="15" hidden="false" customHeight="false" outlineLevel="0" collapsed="false">
      <c r="A204" s="7" t="n">
        <v>44664</v>
      </c>
      <c r="B204" s="8" t="n">
        <f aca="false">YEAR(A204)</f>
        <v>2022</v>
      </c>
      <c r="C204" s="8" t="n">
        <f aca="false">MONTH(A204)</f>
        <v>4</v>
      </c>
      <c r="D204" s="8" t="s">
        <v>37</v>
      </c>
      <c r="E204" s="9" t="n">
        <v>17599.9</v>
      </c>
      <c r="F204" s="10" t="n">
        <v>18.16</v>
      </c>
      <c r="G204" s="11" t="n">
        <v>118.4</v>
      </c>
      <c r="H204" s="4" t="n">
        <v>1553</v>
      </c>
      <c r="I204" s="8" t="n">
        <v>1</v>
      </c>
      <c r="J204" s="11" t="n">
        <v>114</v>
      </c>
      <c r="K204" s="4" t="n">
        <v>1776</v>
      </c>
      <c r="L204" s="8" t="n">
        <v>1</v>
      </c>
      <c r="M204" s="11" t="n">
        <v>107.9</v>
      </c>
      <c r="N204" s="4" t="n">
        <v>2177</v>
      </c>
      <c r="O204" s="8" t="n">
        <v>1</v>
      </c>
      <c r="P204" s="4" t="n">
        <f aca="false">H204+K204+N204</f>
        <v>5506</v>
      </c>
      <c r="Q204" s="4" t="n">
        <f aca="false">Q203+P204</f>
        <v>452375</v>
      </c>
      <c r="R204" s="4" t="n">
        <f aca="false">Q204-MAX(0,MAX($Q$2:Q204))</f>
        <v>-1003</v>
      </c>
    </row>
    <row r="205" customFormat="false" ht="15" hidden="false" customHeight="false" outlineLevel="0" collapsed="false">
      <c r="A205" s="7" t="n">
        <v>44672</v>
      </c>
      <c r="B205" s="8" t="n">
        <f aca="false">YEAR(A205)</f>
        <v>2022</v>
      </c>
      <c r="C205" s="8" t="n">
        <f aca="false">MONTH(A205)</f>
        <v>4</v>
      </c>
      <c r="D205" s="8" t="s">
        <v>36</v>
      </c>
      <c r="E205" s="9" t="n">
        <v>17234.6</v>
      </c>
      <c r="F205" s="10" t="n">
        <v>18.67</v>
      </c>
      <c r="G205" s="11" t="n">
        <v>103.1</v>
      </c>
      <c r="H205" s="4" t="n">
        <v>1829</v>
      </c>
      <c r="I205" s="8" t="n">
        <v>1</v>
      </c>
      <c r="J205" s="11" t="n">
        <v>100</v>
      </c>
      <c r="K205" s="4" t="n">
        <v>1763</v>
      </c>
      <c r="L205" s="8" t="n">
        <v>1</v>
      </c>
      <c r="M205" s="11" t="n">
        <v>95.7</v>
      </c>
      <c r="N205" s="4" t="n">
        <v>1410</v>
      </c>
      <c r="O205" s="8" t="n">
        <v>1</v>
      </c>
      <c r="P205" s="4" t="n">
        <f aca="false">H205+K205+N205</f>
        <v>5002</v>
      </c>
      <c r="Q205" s="4" t="n">
        <f aca="false">Q204+P205</f>
        <v>457377</v>
      </c>
      <c r="R205" s="4" t="n">
        <f aca="false">Q205-MAX(0,MAX($Q$2:Q205))</f>
        <v>0</v>
      </c>
    </row>
    <row r="206" customFormat="false" ht="15" hidden="false" customHeight="false" outlineLevel="0" collapsed="false">
      <c r="A206" s="7" t="n">
        <v>44679</v>
      </c>
      <c r="B206" s="8" t="n">
        <f aca="false">YEAR(A206)</f>
        <v>2022</v>
      </c>
      <c r="C206" s="8" t="n">
        <f aca="false">MONTH(A206)</f>
        <v>4</v>
      </c>
      <c r="D206" s="8" t="s">
        <v>36</v>
      </c>
      <c r="E206" s="9" t="n">
        <v>17189.5</v>
      </c>
      <c r="F206" s="10" t="n">
        <v>20.61</v>
      </c>
      <c r="G206" s="11" t="n">
        <v>163.8</v>
      </c>
      <c r="H206" s="4" t="n">
        <v>2811</v>
      </c>
      <c r="I206" s="8" t="n">
        <v>1</v>
      </c>
      <c r="J206" s="11" t="n">
        <v>158.9</v>
      </c>
      <c r="K206" s="4" t="n">
        <v>2795</v>
      </c>
      <c r="L206" s="8" t="n">
        <v>1</v>
      </c>
      <c r="M206" s="11" t="n">
        <v>151.1</v>
      </c>
      <c r="N206" s="4" t="n">
        <v>3354</v>
      </c>
      <c r="O206" s="8" t="n">
        <v>1</v>
      </c>
      <c r="P206" s="4" t="n">
        <f aca="false">H206+K206+N206</f>
        <v>8960</v>
      </c>
      <c r="Q206" s="4" t="n">
        <f aca="false">Q205+P206</f>
        <v>466337</v>
      </c>
      <c r="R206" s="4" t="n">
        <f aca="false">Q206-MAX(0,MAX($Q$2:Q206))</f>
        <v>0</v>
      </c>
    </row>
    <row r="207" customFormat="false" ht="15" hidden="false" customHeight="false" outlineLevel="0" collapsed="false">
      <c r="A207" s="7" t="n">
        <v>44686</v>
      </c>
      <c r="B207" s="8" t="n">
        <f aca="false">YEAR(A207)</f>
        <v>2022</v>
      </c>
      <c r="C207" s="8" t="n">
        <f aca="false">MONTH(A207)</f>
        <v>5</v>
      </c>
      <c r="D207" s="8" t="s">
        <v>36</v>
      </c>
      <c r="E207" s="9" t="n">
        <v>16854.8</v>
      </c>
      <c r="F207" s="10" t="n">
        <v>21.88</v>
      </c>
      <c r="G207" s="11" t="n">
        <v>142.5</v>
      </c>
      <c r="H207" s="4" t="n">
        <v>-3142</v>
      </c>
      <c r="I207" s="8" t="n">
        <v>2</v>
      </c>
      <c r="J207" s="11" t="n">
        <v>139.4</v>
      </c>
      <c r="K207" s="4" t="n">
        <v>-3078</v>
      </c>
      <c r="L207" s="8" t="n">
        <v>2</v>
      </c>
      <c r="M207" s="11" t="n">
        <v>132.9</v>
      </c>
      <c r="N207" s="4" t="n">
        <v>3507</v>
      </c>
      <c r="O207" s="8" t="n">
        <v>1</v>
      </c>
      <c r="P207" s="4" t="n">
        <f aca="false">H207+K207+N207</f>
        <v>-2713</v>
      </c>
      <c r="Q207" s="4" t="n">
        <f aca="false">Q206+P207</f>
        <v>463624</v>
      </c>
      <c r="R207" s="4" t="n">
        <f aca="false">Q207-MAX(0,MAX($Q$2:Q207))</f>
        <v>-2713</v>
      </c>
    </row>
    <row r="208" customFormat="false" ht="15" hidden="false" customHeight="false" outlineLevel="0" collapsed="false">
      <c r="A208" s="7" t="n">
        <v>44693</v>
      </c>
      <c r="B208" s="8" t="n">
        <f aca="false">YEAR(A208)</f>
        <v>2022</v>
      </c>
      <c r="C208" s="8" t="n">
        <f aca="false">MONTH(A208)</f>
        <v>5</v>
      </c>
      <c r="D208" s="8" t="s">
        <v>36</v>
      </c>
      <c r="E208" s="9" t="n">
        <v>16021.1</v>
      </c>
      <c r="F208" s="10" t="n">
        <v>22.8</v>
      </c>
      <c r="G208" s="11" t="n">
        <v>126.5</v>
      </c>
      <c r="H208" s="4" t="n">
        <v>-2813</v>
      </c>
      <c r="I208" s="8" t="n">
        <v>2</v>
      </c>
      <c r="J208" s="11" t="n">
        <v>121.8</v>
      </c>
      <c r="K208" s="4" t="n">
        <v>2670</v>
      </c>
      <c r="L208" s="8" t="n">
        <v>1</v>
      </c>
      <c r="M208" s="11" t="n">
        <v>117.4</v>
      </c>
      <c r="N208" s="4" t="n">
        <v>3313</v>
      </c>
      <c r="O208" s="8" t="n">
        <v>1</v>
      </c>
      <c r="P208" s="4" t="n">
        <f aca="false">H208+K208+N208</f>
        <v>3170</v>
      </c>
      <c r="Q208" s="4" t="n">
        <f aca="false">Q207+P208</f>
        <v>466794</v>
      </c>
      <c r="R208" s="4" t="n">
        <f aca="false">Q208-MAX(0,MAX($Q$2:Q208))</f>
        <v>0</v>
      </c>
    </row>
    <row r="209" customFormat="false" ht="15" hidden="false" customHeight="false" outlineLevel="0" collapsed="false">
      <c r="A209" s="7" t="n">
        <v>44700</v>
      </c>
      <c r="B209" s="8" t="n">
        <f aca="false">YEAR(A209)</f>
        <v>2022</v>
      </c>
      <c r="C209" s="8" t="n">
        <f aca="false">MONTH(A209)</f>
        <v>5</v>
      </c>
      <c r="D209" s="8" t="s">
        <v>36</v>
      </c>
      <c r="E209" s="9" t="n">
        <v>15917.4</v>
      </c>
      <c r="F209" s="10" t="n">
        <v>22.3</v>
      </c>
      <c r="G209" s="11" t="n">
        <v>124.1</v>
      </c>
      <c r="H209" s="4" t="n">
        <v>-2764</v>
      </c>
      <c r="I209" s="8" t="n">
        <v>2</v>
      </c>
      <c r="J209" s="11" t="n">
        <v>119.4</v>
      </c>
      <c r="K209" s="4" t="n">
        <v>2181</v>
      </c>
      <c r="L209" s="8" t="n">
        <v>1</v>
      </c>
      <c r="M209" s="11" t="n">
        <v>113.7</v>
      </c>
      <c r="N209" s="4" t="n">
        <v>2239</v>
      </c>
      <c r="O209" s="8" t="n">
        <v>1</v>
      </c>
      <c r="P209" s="4" t="n">
        <f aca="false">H209+K209+N209</f>
        <v>1656</v>
      </c>
      <c r="Q209" s="4" t="n">
        <f aca="false">Q208+P209</f>
        <v>468450</v>
      </c>
      <c r="R209" s="4" t="n">
        <f aca="false">Q209-MAX(0,MAX($Q$2:Q209))</f>
        <v>0</v>
      </c>
    </row>
    <row r="210" customFormat="false" ht="15" hidden="false" customHeight="false" outlineLevel="0" collapsed="false">
      <c r="A210" s="7" t="n">
        <v>44707</v>
      </c>
      <c r="B210" s="8" t="n">
        <f aca="false">YEAR(A210)</f>
        <v>2022</v>
      </c>
      <c r="C210" s="8" t="n">
        <f aca="false">MONTH(A210)</f>
        <v>5</v>
      </c>
      <c r="D210" s="8" t="s">
        <v>36</v>
      </c>
      <c r="E210" s="9" t="n">
        <v>16105</v>
      </c>
      <c r="F210" s="10" t="n">
        <v>25.28</v>
      </c>
      <c r="G210" s="11" t="n">
        <v>152.8</v>
      </c>
      <c r="H210" s="4" t="n">
        <v>-3353</v>
      </c>
      <c r="I210" s="8" t="n">
        <v>2</v>
      </c>
      <c r="J210" s="11" t="n">
        <v>148.7</v>
      </c>
      <c r="K210" s="4" t="n">
        <v>-3268</v>
      </c>
      <c r="L210" s="8" t="n">
        <v>2</v>
      </c>
      <c r="M210" s="11" t="n">
        <v>140.4</v>
      </c>
      <c r="N210" s="4" t="n">
        <v>2674</v>
      </c>
      <c r="O210" s="8" t="n">
        <v>1</v>
      </c>
      <c r="P210" s="4" t="n">
        <f aca="false">H210+K210+N210</f>
        <v>-3947</v>
      </c>
      <c r="Q210" s="4" t="n">
        <f aca="false">Q209+P210</f>
        <v>464503</v>
      </c>
      <c r="R210" s="4" t="n">
        <f aca="false">Q210-MAX(0,MAX($Q$2:Q210))</f>
        <v>-3947</v>
      </c>
    </row>
    <row r="211" customFormat="false" ht="15" hidden="false" customHeight="false" outlineLevel="0" collapsed="false">
      <c r="A211" s="7" t="n">
        <v>44714</v>
      </c>
      <c r="B211" s="8" t="n">
        <f aca="false">YEAR(A211)</f>
        <v>2022</v>
      </c>
      <c r="C211" s="8" t="n">
        <f aca="false">MONTH(A211)</f>
        <v>6</v>
      </c>
      <c r="D211" s="8" t="s">
        <v>36</v>
      </c>
      <c r="E211" s="9" t="n">
        <v>16481.6</v>
      </c>
      <c r="F211" s="10" t="n">
        <v>20.85</v>
      </c>
      <c r="G211" s="11" t="n">
        <v>116.8</v>
      </c>
      <c r="H211" s="4" t="n">
        <v>2712</v>
      </c>
      <c r="I211" s="8" t="n">
        <v>1</v>
      </c>
      <c r="J211" s="11" t="n">
        <v>113.9</v>
      </c>
      <c r="K211" s="4" t="n">
        <v>1681</v>
      </c>
      <c r="L211" s="8" t="n">
        <v>1</v>
      </c>
      <c r="M211" s="11" t="n">
        <v>109.9</v>
      </c>
      <c r="N211" s="4" t="n">
        <v>-2474</v>
      </c>
      <c r="O211" s="8" t="n">
        <v>2</v>
      </c>
      <c r="P211" s="4" t="n">
        <f aca="false">H211+K211+N211</f>
        <v>1919</v>
      </c>
      <c r="Q211" s="4" t="n">
        <f aca="false">Q210+P211</f>
        <v>466422</v>
      </c>
      <c r="R211" s="4" t="n">
        <f aca="false">Q211-MAX(0,MAX($Q$2:Q211))</f>
        <v>-2028</v>
      </c>
    </row>
    <row r="212" customFormat="false" ht="15" hidden="false" customHeight="false" outlineLevel="0" collapsed="false">
      <c r="A212" s="7" t="n">
        <v>44721</v>
      </c>
      <c r="B212" s="8" t="n">
        <f aca="false">YEAR(A212)</f>
        <v>2022</v>
      </c>
      <c r="C212" s="8" t="n">
        <f aca="false">MONTH(A212)</f>
        <v>6</v>
      </c>
      <c r="D212" s="8" t="s">
        <v>36</v>
      </c>
      <c r="E212" s="9" t="n">
        <v>16263.8</v>
      </c>
      <c r="F212" s="10" t="n">
        <v>19.84</v>
      </c>
      <c r="G212" s="11" t="n">
        <v>105.9</v>
      </c>
      <c r="H212" s="4" t="n">
        <v>2797</v>
      </c>
      <c r="I212" s="8" t="n">
        <v>1</v>
      </c>
      <c r="J212" s="11" t="n">
        <v>104.3</v>
      </c>
      <c r="K212" s="4" t="n">
        <v>-2360</v>
      </c>
      <c r="L212" s="8" t="n">
        <v>2</v>
      </c>
      <c r="M212" s="11" t="n">
        <v>98.9</v>
      </c>
      <c r="N212" s="4" t="n">
        <v>1030</v>
      </c>
      <c r="O212" s="8" t="n">
        <v>1</v>
      </c>
      <c r="P212" s="4" t="n">
        <f aca="false">H212+K212+N212</f>
        <v>1467</v>
      </c>
      <c r="Q212" s="4" t="n">
        <f aca="false">Q211+P212</f>
        <v>467889</v>
      </c>
      <c r="R212" s="4" t="n">
        <f aca="false">Q212-MAX(0,MAX($Q$2:Q212))</f>
        <v>-561</v>
      </c>
    </row>
    <row r="213" customFormat="false" ht="15" hidden="false" customHeight="false" outlineLevel="0" collapsed="false">
      <c r="A213" s="7" t="n">
        <v>44728</v>
      </c>
      <c r="B213" s="8" t="n">
        <f aca="false">YEAR(A213)</f>
        <v>2022</v>
      </c>
      <c r="C213" s="8" t="n">
        <f aca="false">MONTH(A213)</f>
        <v>6</v>
      </c>
      <c r="D213" s="8" t="s">
        <v>36</v>
      </c>
      <c r="E213" s="9" t="n">
        <v>15832.2</v>
      </c>
      <c r="F213" s="10" t="n">
        <v>22.15</v>
      </c>
      <c r="G213" s="11" t="n">
        <v>144.1</v>
      </c>
      <c r="H213" s="4" t="n">
        <v>2849</v>
      </c>
      <c r="I213" s="8" t="n">
        <v>1</v>
      </c>
      <c r="J213" s="11" t="n">
        <v>140.5</v>
      </c>
      <c r="K213" s="4" t="n">
        <v>2134</v>
      </c>
      <c r="L213" s="8" t="n">
        <v>1</v>
      </c>
      <c r="M213" s="11" t="n">
        <v>132.9</v>
      </c>
      <c r="N213" s="4" t="n">
        <v>2402</v>
      </c>
      <c r="O213" s="8" t="n">
        <v>1</v>
      </c>
      <c r="P213" s="4" t="n">
        <f aca="false">H213+K213+N213</f>
        <v>7385</v>
      </c>
      <c r="Q213" s="4" t="n">
        <f aca="false">Q212+P213</f>
        <v>475274</v>
      </c>
      <c r="R213" s="4" t="n">
        <f aca="false">Q213-MAX(0,MAX($Q$2:Q213))</f>
        <v>0</v>
      </c>
    </row>
    <row r="214" customFormat="false" ht="15" hidden="false" customHeight="false" outlineLevel="0" collapsed="false">
      <c r="A214" s="7" t="n">
        <v>44735</v>
      </c>
      <c r="B214" s="8" t="n">
        <f aca="false">YEAR(A214)</f>
        <v>2022</v>
      </c>
      <c r="C214" s="8" t="n">
        <f aca="false">MONTH(A214)</f>
        <v>6</v>
      </c>
      <c r="D214" s="8" t="s">
        <v>36</v>
      </c>
      <c r="E214" s="9" t="n">
        <v>15451.6</v>
      </c>
      <c r="F214" s="10" t="n">
        <v>21.3</v>
      </c>
      <c r="G214" s="11" t="n">
        <v>115.4</v>
      </c>
      <c r="H214" s="4" t="n">
        <v>-2586</v>
      </c>
      <c r="I214" s="8" t="n">
        <v>2</v>
      </c>
      <c r="J214" s="11" t="n">
        <v>113.4</v>
      </c>
      <c r="K214" s="4" t="n">
        <v>-2545</v>
      </c>
      <c r="L214" s="8" t="n">
        <v>2</v>
      </c>
      <c r="M214" s="11" t="n">
        <v>107.3</v>
      </c>
      <c r="N214" s="4" t="n">
        <v>-2420</v>
      </c>
      <c r="O214" s="8" t="n">
        <v>2</v>
      </c>
      <c r="P214" s="4" t="n">
        <f aca="false">H214+K214+N214</f>
        <v>-7551</v>
      </c>
      <c r="Q214" s="4" t="n">
        <f aca="false">Q213+P214</f>
        <v>467723</v>
      </c>
      <c r="R214" s="4" t="n">
        <f aca="false">Q214-MAX(0,MAX($Q$2:Q214))</f>
        <v>-7551</v>
      </c>
    </row>
    <row r="215" customFormat="false" ht="15" hidden="false" customHeight="false" outlineLevel="0" collapsed="false">
      <c r="A215" s="7" t="n">
        <v>44742</v>
      </c>
      <c r="B215" s="8" t="n">
        <f aca="false">YEAR(A215)</f>
        <v>2022</v>
      </c>
      <c r="C215" s="8" t="n">
        <f aca="false">MONTH(A215)</f>
        <v>6</v>
      </c>
      <c r="D215" s="8" t="s">
        <v>36</v>
      </c>
      <c r="E215" s="9" t="n">
        <v>15774.5</v>
      </c>
      <c r="F215" s="10" t="n">
        <v>21.9</v>
      </c>
      <c r="G215" s="11" t="n">
        <v>139.7</v>
      </c>
      <c r="H215" s="4" t="n">
        <v>2124</v>
      </c>
      <c r="I215" s="8" t="n">
        <v>1</v>
      </c>
      <c r="J215" s="11" t="n">
        <v>134.9</v>
      </c>
      <c r="K215" s="4" t="n">
        <v>3256</v>
      </c>
      <c r="L215" s="8" t="n">
        <v>1</v>
      </c>
      <c r="M215" s="11" t="n">
        <v>128.3</v>
      </c>
      <c r="N215" s="4" t="n">
        <v>2827</v>
      </c>
      <c r="O215" s="8" t="n">
        <v>1</v>
      </c>
      <c r="P215" s="4" t="n">
        <f aca="false">H215+K215+N215</f>
        <v>8207</v>
      </c>
      <c r="Q215" s="4" t="n">
        <f aca="false">Q214+P215</f>
        <v>475930</v>
      </c>
      <c r="R215" s="4" t="n">
        <f aca="false">Q215-MAX(0,MAX($Q$2:Q215))</f>
        <v>0</v>
      </c>
    </row>
    <row r="216" customFormat="false" ht="15" hidden="false" customHeight="false" outlineLevel="0" collapsed="false">
      <c r="A216" s="7" t="n">
        <v>44749</v>
      </c>
      <c r="B216" s="8" t="n">
        <f aca="false">YEAR(A216)</f>
        <v>2022</v>
      </c>
      <c r="C216" s="8" t="n">
        <f aca="false">MONTH(A216)</f>
        <v>7</v>
      </c>
      <c r="D216" s="8" t="s">
        <v>36</v>
      </c>
      <c r="E216" s="9" t="n">
        <v>16113.8</v>
      </c>
      <c r="F216" s="10" t="n">
        <v>20.27</v>
      </c>
      <c r="G216" s="11" t="n">
        <v>122.3</v>
      </c>
      <c r="H216" s="4" t="n">
        <v>5454</v>
      </c>
      <c r="I216" s="8" t="n">
        <v>0</v>
      </c>
      <c r="J216" s="11" t="n">
        <v>118.4</v>
      </c>
      <c r="K216" s="4" t="n">
        <v>5200</v>
      </c>
      <c r="L216" s="8" t="n">
        <v>0</v>
      </c>
      <c r="M216" s="11" t="n">
        <v>113.2</v>
      </c>
      <c r="N216" s="4" t="n">
        <v>4866</v>
      </c>
      <c r="O216" s="8" t="n">
        <v>0</v>
      </c>
      <c r="P216" s="4" t="n">
        <f aca="false">H216+K216+N216</f>
        <v>15520</v>
      </c>
      <c r="Q216" s="4" t="n">
        <f aca="false">Q215+P216</f>
        <v>491450</v>
      </c>
      <c r="R216" s="4" t="n">
        <f aca="false">Q216-MAX(0,MAX($Q$2:Q216))</f>
        <v>0</v>
      </c>
    </row>
    <row r="217" customFormat="false" ht="15" hidden="false" customHeight="false" outlineLevel="0" collapsed="false">
      <c r="A217" s="7" t="n">
        <v>44756</v>
      </c>
      <c r="B217" s="8" t="n">
        <f aca="false">YEAR(A217)</f>
        <v>2022</v>
      </c>
      <c r="C217" s="8" t="n">
        <f aca="false">MONTH(A217)</f>
        <v>7</v>
      </c>
      <c r="D217" s="8" t="s">
        <v>36</v>
      </c>
      <c r="E217" s="9" t="n">
        <v>16018.8</v>
      </c>
      <c r="F217" s="10" t="n">
        <v>18.52</v>
      </c>
      <c r="G217" s="11" t="n">
        <v>137.1</v>
      </c>
      <c r="H217" s="4" t="n">
        <v>2260</v>
      </c>
      <c r="I217" s="8" t="n">
        <v>1</v>
      </c>
      <c r="J217" s="11" t="n">
        <v>133.6</v>
      </c>
      <c r="K217" s="4" t="n">
        <v>3502</v>
      </c>
      <c r="L217" s="8" t="n">
        <v>1</v>
      </c>
      <c r="M217" s="11" t="n">
        <v>126.9</v>
      </c>
      <c r="N217" s="4" t="n">
        <v>1962</v>
      </c>
      <c r="O217" s="8" t="n">
        <v>1</v>
      </c>
      <c r="P217" s="4" t="n">
        <f aca="false">H217+K217+N217</f>
        <v>7724</v>
      </c>
      <c r="Q217" s="4" t="n">
        <f aca="false">Q216+P217</f>
        <v>499174</v>
      </c>
      <c r="R217" s="4" t="n">
        <f aca="false">Q217-MAX(0,MAX($Q$2:Q217))</f>
        <v>0</v>
      </c>
    </row>
    <row r="218" customFormat="false" ht="15" hidden="false" customHeight="false" outlineLevel="0" collapsed="false">
      <c r="A218" s="7" t="n">
        <v>44763</v>
      </c>
      <c r="B218" s="8" t="n">
        <f aca="false">YEAR(A218)</f>
        <v>2022</v>
      </c>
      <c r="C218" s="8" t="n">
        <f aca="false">MONTH(A218)</f>
        <v>7</v>
      </c>
      <c r="D218" s="8" t="s">
        <v>36</v>
      </c>
      <c r="E218" s="9" t="n">
        <v>16523.6</v>
      </c>
      <c r="F218" s="10" t="n">
        <v>16.82</v>
      </c>
      <c r="G218" s="11" t="n">
        <v>99.1</v>
      </c>
      <c r="H218" s="4" t="n">
        <v>2517</v>
      </c>
      <c r="I218" s="8" t="n">
        <v>1</v>
      </c>
      <c r="J218" s="11" t="n">
        <v>96.9</v>
      </c>
      <c r="K218" s="4" t="n">
        <v>2084</v>
      </c>
      <c r="L218" s="8" t="n">
        <v>0</v>
      </c>
      <c r="M218" s="11" t="n">
        <v>91.9</v>
      </c>
      <c r="N218" s="4" t="n">
        <v>1758</v>
      </c>
      <c r="O218" s="8" t="n">
        <v>0</v>
      </c>
      <c r="P218" s="4" t="n">
        <f aca="false">H218+K218+N218</f>
        <v>6359</v>
      </c>
      <c r="Q218" s="4" t="n">
        <f aca="false">Q217+P218</f>
        <v>505533</v>
      </c>
      <c r="R218" s="4" t="n">
        <f aca="false">Q218-MAX(0,MAX($Q$2:Q218))</f>
        <v>0</v>
      </c>
    </row>
    <row r="219" customFormat="false" ht="15" hidden="false" customHeight="false" outlineLevel="0" collapsed="false">
      <c r="A219" s="7" t="n">
        <v>44770</v>
      </c>
      <c r="B219" s="8" t="n">
        <f aca="false">YEAR(A219)</f>
        <v>2022</v>
      </c>
      <c r="C219" s="8" t="n">
        <f aca="false">MONTH(A219)</f>
        <v>7</v>
      </c>
      <c r="D219" s="8" t="s">
        <v>36</v>
      </c>
      <c r="E219" s="9" t="n">
        <v>16774.8</v>
      </c>
      <c r="F219" s="10" t="n">
        <v>18.13</v>
      </c>
      <c r="G219" s="11" t="n">
        <v>120</v>
      </c>
      <c r="H219" s="4" t="n">
        <v>1930</v>
      </c>
      <c r="I219" s="8" t="n">
        <v>1</v>
      </c>
      <c r="J219" s="11" t="n">
        <v>116.8</v>
      </c>
      <c r="K219" s="4" t="n">
        <v>1889</v>
      </c>
      <c r="L219" s="8" t="n">
        <v>1</v>
      </c>
      <c r="M219" s="11" t="n">
        <v>111.2</v>
      </c>
      <c r="N219" s="4" t="n">
        <v>2197</v>
      </c>
      <c r="O219" s="8" t="n">
        <v>1</v>
      </c>
      <c r="P219" s="4" t="n">
        <f aca="false">H219+K219+N219</f>
        <v>6016</v>
      </c>
      <c r="Q219" s="4" t="n">
        <f aca="false">Q218+P219</f>
        <v>511549</v>
      </c>
      <c r="R219" s="4" t="n">
        <f aca="false">Q219-MAX(0,MAX($Q$2:Q219))</f>
        <v>0</v>
      </c>
    </row>
    <row r="220" customFormat="false" ht="15" hidden="false" customHeight="false" outlineLevel="0" collapsed="false">
      <c r="A220" s="7" t="n">
        <v>44777</v>
      </c>
      <c r="B220" s="8" t="n">
        <f aca="false">YEAR(A220)</f>
        <v>2022</v>
      </c>
      <c r="C220" s="8" t="n">
        <f aca="false">MONTH(A220)</f>
        <v>8</v>
      </c>
      <c r="D220" s="8" t="s">
        <v>36</v>
      </c>
      <c r="E220" s="9" t="n">
        <v>17463.1</v>
      </c>
      <c r="F220" s="10" t="n">
        <v>18.45</v>
      </c>
      <c r="G220" s="11" t="n">
        <v>105.3</v>
      </c>
      <c r="H220" s="4" t="n">
        <v>2902</v>
      </c>
      <c r="I220" s="8" t="n">
        <v>1</v>
      </c>
      <c r="J220" s="11" t="n">
        <v>101.8</v>
      </c>
      <c r="K220" s="4" t="n">
        <v>2641</v>
      </c>
      <c r="L220" s="8" t="n">
        <v>1</v>
      </c>
      <c r="M220" s="11" t="n">
        <v>98.4</v>
      </c>
      <c r="N220" s="4" t="n">
        <v>2897</v>
      </c>
      <c r="O220" s="8" t="n">
        <v>1</v>
      </c>
      <c r="P220" s="4" t="n">
        <f aca="false">H220+K220+N220</f>
        <v>8440</v>
      </c>
      <c r="Q220" s="4" t="n">
        <f aca="false">Q219+P220</f>
        <v>519989</v>
      </c>
      <c r="R220" s="4" t="n">
        <f aca="false">Q220-MAX(0,MAX($Q$2:Q220))</f>
        <v>0</v>
      </c>
    </row>
    <row r="221" customFormat="false" ht="15" hidden="false" customHeight="false" outlineLevel="0" collapsed="false">
      <c r="A221" s="7" t="n">
        <v>44784</v>
      </c>
      <c r="B221" s="8" t="n">
        <f aca="false">YEAR(A221)</f>
        <v>2022</v>
      </c>
      <c r="C221" s="8" t="n">
        <f aca="false">MONTH(A221)</f>
        <v>8</v>
      </c>
      <c r="D221" s="8" t="s">
        <v>36</v>
      </c>
      <c r="E221" s="9" t="n">
        <v>17711.6</v>
      </c>
      <c r="F221" s="10" t="n">
        <v>19.59</v>
      </c>
      <c r="G221" s="11" t="n">
        <v>83.6</v>
      </c>
      <c r="H221" s="4" t="n">
        <v>1461</v>
      </c>
      <c r="I221" s="8" t="n">
        <v>1</v>
      </c>
      <c r="J221" s="11" t="n">
        <v>81.7</v>
      </c>
      <c r="K221" s="4" t="n">
        <v>1058</v>
      </c>
      <c r="L221" s="8" t="n">
        <v>1</v>
      </c>
      <c r="M221" s="11" t="n">
        <v>77.4</v>
      </c>
      <c r="N221" s="4" t="n">
        <v>1234</v>
      </c>
      <c r="O221" s="8" t="n">
        <v>1</v>
      </c>
      <c r="P221" s="4" t="n">
        <f aca="false">H221+K221+N221</f>
        <v>3753</v>
      </c>
      <c r="Q221" s="4" t="n">
        <f aca="false">Q220+P221</f>
        <v>523742</v>
      </c>
      <c r="R221" s="4" t="n">
        <f aca="false">Q221-MAX(0,MAX($Q$2:Q221))</f>
        <v>0</v>
      </c>
    </row>
    <row r="222" customFormat="false" ht="15" hidden="false" customHeight="false" outlineLevel="0" collapsed="false">
      <c r="A222" s="7" t="n">
        <v>44791</v>
      </c>
      <c r="B222" s="8" t="n">
        <f aca="false">YEAR(A222)</f>
        <v>2022</v>
      </c>
      <c r="C222" s="8" t="n">
        <f aca="false">MONTH(A222)</f>
        <v>8</v>
      </c>
      <c r="D222" s="8" t="s">
        <v>36</v>
      </c>
      <c r="E222" s="9" t="n">
        <v>17898.6</v>
      </c>
      <c r="F222" s="10" t="n">
        <v>17.68</v>
      </c>
      <c r="G222" s="11" t="n">
        <v>115.9</v>
      </c>
      <c r="H222" s="4" t="n">
        <v>-298</v>
      </c>
      <c r="I222" s="8" t="n">
        <v>1</v>
      </c>
      <c r="J222" s="11" t="n">
        <v>111.1</v>
      </c>
      <c r="K222" s="4" t="n">
        <v>1345</v>
      </c>
      <c r="L222" s="8" t="n">
        <v>1</v>
      </c>
      <c r="M222" s="11" t="n">
        <v>105.5</v>
      </c>
      <c r="N222" s="4" t="n">
        <v>2891</v>
      </c>
      <c r="O222" s="8" t="n">
        <v>0</v>
      </c>
      <c r="P222" s="4" t="n">
        <f aca="false">H222+K222+N222</f>
        <v>3938</v>
      </c>
      <c r="Q222" s="4" t="n">
        <f aca="false">Q221+P222</f>
        <v>527680</v>
      </c>
      <c r="R222" s="4" t="n">
        <f aca="false">Q222-MAX(0,MAX($Q$2:Q222))</f>
        <v>0</v>
      </c>
    </row>
    <row r="223" customFormat="false" ht="15" hidden="false" customHeight="false" outlineLevel="0" collapsed="false">
      <c r="A223" s="7" t="n">
        <v>44798</v>
      </c>
      <c r="B223" s="8" t="n">
        <f aca="false">YEAR(A223)</f>
        <v>2022</v>
      </c>
      <c r="C223" s="8" t="n">
        <f aca="false">MONTH(A223)</f>
        <v>8</v>
      </c>
      <c r="D223" s="8" t="s">
        <v>36</v>
      </c>
      <c r="E223" s="9" t="n">
        <v>17679</v>
      </c>
      <c r="F223" s="10" t="n">
        <v>18.43</v>
      </c>
      <c r="G223" s="11" t="n">
        <v>110.9</v>
      </c>
      <c r="H223" s="4" t="n">
        <v>2587</v>
      </c>
      <c r="I223" s="8" t="n">
        <v>1</v>
      </c>
      <c r="J223" s="11" t="n">
        <v>108.2</v>
      </c>
      <c r="K223" s="4" t="n">
        <v>2841</v>
      </c>
      <c r="L223" s="8" t="n">
        <v>1</v>
      </c>
      <c r="M223" s="11" t="n">
        <v>102.5</v>
      </c>
      <c r="N223" s="4" t="n">
        <v>1686</v>
      </c>
      <c r="O223" s="8" t="n">
        <v>1</v>
      </c>
      <c r="P223" s="4" t="n">
        <f aca="false">H223+K223+N223</f>
        <v>7114</v>
      </c>
      <c r="Q223" s="4" t="n">
        <f aca="false">Q222+P223</f>
        <v>534794</v>
      </c>
      <c r="R223" s="4" t="n">
        <f aca="false">Q223-MAX(0,MAX($Q$2:Q223))</f>
        <v>0</v>
      </c>
    </row>
    <row r="224" customFormat="false" ht="15" hidden="false" customHeight="false" outlineLevel="0" collapsed="false">
      <c r="A224" s="7" t="n">
        <v>44805</v>
      </c>
      <c r="B224" s="8" t="n">
        <f aca="false">YEAR(A224)</f>
        <v>2022</v>
      </c>
      <c r="C224" s="8" t="n">
        <f aca="false">MONTH(A224)</f>
        <v>9</v>
      </c>
      <c r="D224" s="8" t="s">
        <v>36</v>
      </c>
      <c r="E224" s="9" t="n">
        <v>17485.7</v>
      </c>
      <c r="F224" s="10" t="n">
        <v>18.7</v>
      </c>
      <c r="G224" s="11" t="n">
        <v>198.3</v>
      </c>
      <c r="H224" s="4" t="n">
        <v>-4283</v>
      </c>
      <c r="I224" s="8" t="n">
        <v>2</v>
      </c>
      <c r="J224" s="11" t="n">
        <v>192.6</v>
      </c>
      <c r="K224" s="4" t="n">
        <v>-4167</v>
      </c>
      <c r="L224" s="8" t="n">
        <v>2</v>
      </c>
      <c r="M224" s="11" t="n">
        <v>184.2</v>
      </c>
      <c r="N224" s="4" t="n">
        <v>4850</v>
      </c>
      <c r="O224" s="8" t="n">
        <v>1</v>
      </c>
      <c r="P224" s="4" t="n">
        <f aca="false">H224+K224+N224</f>
        <v>-3600</v>
      </c>
      <c r="Q224" s="4" t="n">
        <f aca="false">Q223+P224</f>
        <v>531194</v>
      </c>
      <c r="R224" s="4" t="n">
        <f aca="false">Q224-MAX(0,MAX($Q$2:Q224))</f>
        <v>-3600</v>
      </c>
    </row>
    <row r="225" customFormat="false" ht="15" hidden="false" customHeight="false" outlineLevel="0" collapsed="false">
      <c r="A225" s="7" t="n">
        <v>44812</v>
      </c>
      <c r="B225" s="8" t="n">
        <f aca="false">YEAR(A225)</f>
        <v>2022</v>
      </c>
      <c r="C225" s="8" t="n">
        <f aca="false">MONTH(A225)</f>
        <v>9</v>
      </c>
      <c r="D225" s="8" t="s">
        <v>36</v>
      </c>
      <c r="E225" s="9" t="n">
        <v>17748.2</v>
      </c>
      <c r="F225" s="10" t="n">
        <v>19.37</v>
      </c>
      <c r="G225" s="11" t="n">
        <v>107.6</v>
      </c>
      <c r="H225" s="4" t="n">
        <v>244</v>
      </c>
      <c r="I225" s="8" t="n">
        <v>1</v>
      </c>
      <c r="J225" s="11" t="n">
        <v>104.6</v>
      </c>
      <c r="K225" s="4" t="n">
        <v>170</v>
      </c>
      <c r="L225" s="8" t="n">
        <v>1</v>
      </c>
      <c r="M225" s="11" t="n">
        <v>98.5</v>
      </c>
      <c r="N225" s="4" t="n">
        <v>-354</v>
      </c>
      <c r="O225" s="8" t="n">
        <v>1</v>
      </c>
      <c r="P225" s="4" t="n">
        <f aca="false">H225+K225+N225</f>
        <v>60</v>
      </c>
      <c r="Q225" s="4" t="n">
        <f aca="false">Q224+P225</f>
        <v>531254</v>
      </c>
      <c r="R225" s="4" t="n">
        <f aca="false">Q225-MAX(0,MAX($Q$2:Q225))</f>
        <v>-3540</v>
      </c>
    </row>
    <row r="226" customFormat="false" ht="15" hidden="false" customHeight="false" outlineLevel="0" collapsed="false">
      <c r="A226" s="7" t="n">
        <v>44819</v>
      </c>
      <c r="B226" s="8" t="n">
        <f aca="false">YEAR(A226)</f>
        <v>2022</v>
      </c>
      <c r="C226" s="8" t="n">
        <f aca="false">MONTH(A226)</f>
        <v>9</v>
      </c>
      <c r="D226" s="8" t="s">
        <v>36</v>
      </c>
      <c r="E226" s="9" t="n">
        <v>18046.4</v>
      </c>
      <c r="F226" s="10" t="n">
        <v>18.28</v>
      </c>
      <c r="G226" s="11" t="n">
        <v>119.4</v>
      </c>
      <c r="H226" s="4" t="n">
        <v>1827</v>
      </c>
      <c r="I226" s="8" t="n">
        <v>1</v>
      </c>
      <c r="J226" s="11" t="n">
        <v>116.5</v>
      </c>
      <c r="K226" s="4" t="n">
        <v>3397</v>
      </c>
      <c r="L226" s="8" t="n">
        <v>1</v>
      </c>
      <c r="M226" s="11" t="n">
        <v>109.3</v>
      </c>
      <c r="N226" s="4" t="n">
        <v>2058</v>
      </c>
      <c r="O226" s="8" t="n">
        <v>1</v>
      </c>
      <c r="P226" s="4" t="n">
        <f aca="false">H226+K226+N226</f>
        <v>7282</v>
      </c>
      <c r="Q226" s="4" t="n">
        <f aca="false">Q225+P226</f>
        <v>538536</v>
      </c>
      <c r="R226" s="4" t="n">
        <f aca="false">Q226-MAX(0,MAX($Q$2:Q226))</f>
        <v>0</v>
      </c>
    </row>
    <row r="227" customFormat="false" ht="15" hidden="false" customHeight="false" outlineLevel="0" collapsed="false">
      <c r="A227" s="7" t="n">
        <v>44826</v>
      </c>
      <c r="B227" s="8" t="n">
        <f aca="false">YEAR(A227)</f>
        <v>2022</v>
      </c>
      <c r="C227" s="8" t="n">
        <f aca="false">MONTH(A227)</f>
        <v>9</v>
      </c>
      <c r="D227" s="8" t="s">
        <v>36</v>
      </c>
      <c r="E227" s="9" t="n">
        <v>17609.6</v>
      </c>
      <c r="F227" s="10" t="n">
        <v>19.33</v>
      </c>
      <c r="G227" s="11" t="n">
        <v>203.1</v>
      </c>
      <c r="H227" s="4" t="n">
        <v>4189</v>
      </c>
      <c r="I227" s="8" t="n">
        <v>1</v>
      </c>
      <c r="J227" s="11" t="n">
        <v>197.3</v>
      </c>
      <c r="K227" s="4" t="n">
        <v>3984</v>
      </c>
      <c r="L227" s="8" t="n">
        <v>1</v>
      </c>
      <c r="M227" s="11" t="n">
        <v>187.7</v>
      </c>
      <c r="N227" s="4" t="n">
        <v>8947</v>
      </c>
      <c r="O227" s="8" t="n">
        <v>0</v>
      </c>
      <c r="P227" s="4" t="n">
        <f aca="false">H227+K227+N227</f>
        <v>17120</v>
      </c>
      <c r="Q227" s="4" t="n">
        <f aca="false">Q226+P227</f>
        <v>555656</v>
      </c>
      <c r="R227" s="4" t="n">
        <f aca="false">Q227-MAX(0,MAX($Q$2:Q227))</f>
        <v>0</v>
      </c>
    </row>
    <row r="228" customFormat="false" ht="15" hidden="false" customHeight="false" outlineLevel="0" collapsed="false">
      <c r="A228" s="7" t="n">
        <v>44833</v>
      </c>
      <c r="B228" s="8" t="n">
        <f aca="false">YEAR(A228)</f>
        <v>2022</v>
      </c>
      <c r="C228" s="8" t="n">
        <f aca="false">MONTH(A228)</f>
        <v>9</v>
      </c>
      <c r="D228" s="8" t="s">
        <v>36</v>
      </c>
      <c r="E228" s="9" t="n">
        <v>16993.6</v>
      </c>
      <c r="F228" s="10" t="n">
        <v>22.1</v>
      </c>
      <c r="G228" s="11" t="n">
        <v>128.4</v>
      </c>
      <c r="H228" s="4" t="n">
        <v>2930</v>
      </c>
      <c r="I228" s="8" t="n">
        <v>1</v>
      </c>
      <c r="J228" s="11" t="n">
        <v>125.5</v>
      </c>
      <c r="K228" s="4" t="n">
        <v>1695</v>
      </c>
      <c r="L228" s="8" t="n">
        <v>1</v>
      </c>
      <c r="M228" s="11" t="n">
        <v>118.3</v>
      </c>
      <c r="N228" s="4" t="n">
        <v>2225</v>
      </c>
      <c r="O228" s="8" t="n">
        <v>1</v>
      </c>
      <c r="P228" s="4" t="n">
        <f aca="false">H228+K228+N228</f>
        <v>6850</v>
      </c>
      <c r="Q228" s="4" t="n">
        <f aca="false">Q227+P228</f>
        <v>562506</v>
      </c>
      <c r="R228" s="4" t="n">
        <f aca="false">Q228-MAX(0,MAX($Q$2:Q228))</f>
        <v>0</v>
      </c>
    </row>
    <row r="229" customFormat="false" ht="15" hidden="false" customHeight="false" outlineLevel="0" collapsed="false">
      <c r="A229" s="7" t="n">
        <v>44840</v>
      </c>
      <c r="B229" s="8" t="n">
        <f aca="false">YEAR(A229)</f>
        <v>2022</v>
      </c>
      <c r="C229" s="8" t="n">
        <f aca="false">MONTH(A229)</f>
        <v>10</v>
      </c>
      <c r="D229" s="8" t="s">
        <v>36</v>
      </c>
      <c r="E229" s="9" t="n">
        <v>17379.2</v>
      </c>
      <c r="F229" s="10" t="n">
        <v>19.57</v>
      </c>
      <c r="G229" s="11" t="n">
        <v>137.5</v>
      </c>
      <c r="H229" s="4" t="n">
        <v>667</v>
      </c>
      <c r="I229" s="8" t="n">
        <v>1</v>
      </c>
      <c r="J229" s="11" t="n">
        <v>134.4</v>
      </c>
      <c r="K229" s="4" t="n">
        <v>3535</v>
      </c>
      <c r="L229" s="8" t="n">
        <v>1</v>
      </c>
      <c r="M229" s="11" t="n">
        <v>127.4</v>
      </c>
      <c r="N229" s="4" t="n">
        <v>3023</v>
      </c>
      <c r="O229" s="8" t="n">
        <v>1</v>
      </c>
      <c r="P229" s="4" t="n">
        <f aca="false">H229+K229+N229</f>
        <v>7225</v>
      </c>
      <c r="Q229" s="4" t="n">
        <f aca="false">Q228+P229</f>
        <v>569731</v>
      </c>
      <c r="R229" s="4" t="n">
        <f aca="false">Q229-MAX(0,MAX($Q$2:Q229))</f>
        <v>0</v>
      </c>
    </row>
    <row r="230" customFormat="false" ht="15" hidden="false" customHeight="false" outlineLevel="0" collapsed="false">
      <c r="A230" s="7" t="n">
        <v>44847</v>
      </c>
      <c r="B230" s="8" t="n">
        <f aca="false">YEAR(A230)</f>
        <v>2022</v>
      </c>
      <c r="C230" s="8" t="n">
        <f aca="false">MONTH(A230)</f>
        <v>10</v>
      </c>
      <c r="D230" s="8" t="s">
        <v>36</v>
      </c>
      <c r="E230" s="9" t="n">
        <v>17087.4</v>
      </c>
      <c r="F230" s="10" t="n">
        <v>20.18</v>
      </c>
      <c r="G230" s="11" t="n">
        <v>127.7</v>
      </c>
      <c r="H230" s="4" t="n">
        <v>3145</v>
      </c>
      <c r="I230" s="8" t="n">
        <v>1</v>
      </c>
      <c r="J230" s="11" t="n">
        <v>123.4</v>
      </c>
      <c r="K230" s="4" t="n">
        <v>2649</v>
      </c>
      <c r="L230" s="8" t="n">
        <v>1</v>
      </c>
      <c r="M230" s="11" t="n">
        <v>117.1</v>
      </c>
      <c r="N230" s="4" t="n">
        <v>1738</v>
      </c>
      <c r="O230" s="8" t="n">
        <v>1</v>
      </c>
      <c r="P230" s="4" t="n">
        <f aca="false">H230+K230+N230</f>
        <v>7532</v>
      </c>
      <c r="Q230" s="4" t="n">
        <f aca="false">Q229+P230</f>
        <v>577263</v>
      </c>
      <c r="R230" s="4" t="n">
        <f aca="false">Q230-MAX(0,MAX($Q$2:Q230))</f>
        <v>0</v>
      </c>
    </row>
    <row r="231" customFormat="false" ht="15" hidden="false" customHeight="false" outlineLevel="0" collapsed="false">
      <c r="A231" s="7" t="n">
        <v>44854</v>
      </c>
      <c r="B231" s="8" t="n">
        <f aca="false">YEAR(A231)</f>
        <v>2022</v>
      </c>
      <c r="C231" s="8" t="n">
        <f aca="false">MONTH(A231)</f>
        <v>10</v>
      </c>
      <c r="D231" s="8" t="s">
        <v>36</v>
      </c>
      <c r="E231" s="9" t="n">
        <v>17423.1</v>
      </c>
      <c r="F231" s="10" t="n">
        <v>17.49</v>
      </c>
      <c r="G231" s="11" t="n">
        <v>119.5</v>
      </c>
      <c r="H231" s="4" t="n">
        <v>2828</v>
      </c>
      <c r="I231" s="8" t="n">
        <v>1</v>
      </c>
      <c r="J231" s="11" t="n">
        <v>117.9</v>
      </c>
      <c r="K231" s="4" t="n">
        <v>1226</v>
      </c>
      <c r="L231" s="8" t="n">
        <v>1</v>
      </c>
      <c r="M231" s="11" t="n">
        <v>111.1</v>
      </c>
      <c r="N231" s="4" t="n">
        <v>1574</v>
      </c>
      <c r="O231" s="8" t="n">
        <v>1</v>
      </c>
      <c r="P231" s="4" t="n">
        <f aca="false">H231+K231+N231</f>
        <v>5628</v>
      </c>
      <c r="Q231" s="4" t="n">
        <f aca="false">Q230+P231</f>
        <v>582891</v>
      </c>
      <c r="R231" s="4" t="n">
        <f aca="false">Q231-MAX(0,MAX($Q$2:Q231))</f>
        <v>0</v>
      </c>
    </row>
    <row r="232" customFormat="false" ht="15" hidden="false" customHeight="false" outlineLevel="0" collapsed="false">
      <c r="A232" s="7" t="n">
        <v>44861</v>
      </c>
      <c r="B232" s="8" t="n">
        <f aca="false">YEAR(A232)</f>
        <v>2022</v>
      </c>
      <c r="C232" s="8" t="n">
        <f aca="false">MONTH(A232)</f>
        <v>10</v>
      </c>
      <c r="D232" s="8" t="s">
        <v>36</v>
      </c>
      <c r="E232" s="9" t="n">
        <v>17771.4</v>
      </c>
      <c r="F232" s="10" t="n">
        <v>16.88</v>
      </c>
      <c r="G232" s="11" t="n">
        <v>80</v>
      </c>
      <c r="H232" s="4" t="n">
        <v>687</v>
      </c>
      <c r="I232" s="8" t="n">
        <v>1</v>
      </c>
      <c r="J232" s="11" t="n">
        <v>76</v>
      </c>
      <c r="K232" s="4" t="n">
        <v>1043</v>
      </c>
      <c r="L232" s="8" t="n">
        <v>1</v>
      </c>
      <c r="M232" s="11" t="n">
        <v>73.5</v>
      </c>
      <c r="N232" s="4" t="n">
        <v>511</v>
      </c>
      <c r="O232" s="8" t="n">
        <v>1</v>
      </c>
      <c r="P232" s="4" t="n">
        <f aca="false">H232+K232+N232</f>
        <v>2241</v>
      </c>
      <c r="Q232" s="4" t="n">
        <f aca="false">Q231+P232</f>
        <v>585132</v>
      </c>
      <c r="R232" s="4" t="n">
        <f aca="false">Q232-MAX(0,MAX($Q$2:Q232))</f>
        <v>0</v>
      </c>
    </row>
    <row r="233" customFormat="false" ht="15" hidden="false" customHeight="false" outlineLevel="0" collapsed="false">
      <c r="A233" s="7" t="n">
        <v>44868</v>
      </c>
      <c r="B233" s="8" t="n">
        <f aca="false">YEAR(A233)</f>
        <v>2022</v>
      </c>
      <c r="C233" s="8" t="n">
        <f aca="false">MONTH(A233)</f>
        <v>11</v>
      </c>
      <c r="D233" s="8" t="s">
        <v>36</v>
      </c>
      <c r="E233" s="9" t="n">
        <v>17968.4</v>
      </c>
      <c r="F233" s="10" t="n">
        <v>16.66</v>
      </c>
      <c r="G233" s="11" t="n">
        <v>140.8</v>
      </c>
      <c r="H233" s="4" t="n">
        <v>7015</v>
      </c>
      <c r="I233" s="8" t="n">
        <v>0</v>
      </c>
      <c r="J233" s="11" t="n">
        <v>136.5</v>
      </c>
      <c r="K233" s="4" t="n">
        <v>1294</v>
      </c>
      <c r="L233" s="8" t="n">
        <v>1</v>
      </c>
      <c r="M233" s="11" t="n">
        <v>130.1</v>
      </c>
      <c r="N233" s="4" t="n">
        <v>2338</v>
      </c>
      <c r="O233" s="8" t="n">
        <v>1</v>
      </c>
      <c r="P233" s="4" t="n">
        <f aca="false">H233+K233+N233</f>
        <v>10647</v>
      </c>
      <c r="Q233" s="4" t="n">
        <f aca="false">Q232+P233</f>
        <v>595779</v>
      </c>
      <c r="R233" s="4" t="n">
        <f aca="false">Q233-MAX(0,MAX($Q$2:Q233))</f>
        <v>0</v>
      </c>
    </row>
    <row r="234" customFormat="false" ht="15" hidden="false" customHeight="false" outlineLevel="0" collapsed="false">
      <c r="A234" s="7" t="n">
        <v>44875</v>
      </c>
      <c r="B234" s="8" t="n">
        <f aca="false">YEAR(A234)</f>
        <v>2022</v>
      </c>
      <c r="C234" s="8" t="n">
        <f aca="false">MONTH(A234)</f>
        <v>11</v>
      </c>
      <c r="D234" s="8" t="s">
        <v>36</v>
      </c>
      <c r="E234" s="9" t="n">
        <v>18044.4</v>
      </c>
      <c r="F234" s="10" t="n">
        <v>15.92</v>
      </c>
      <c r="G234" s="11" t="n">
        <v>97</v>
      </c>
      <c r="H234" s="4" t="n">
        <v>956</v>
      </c>
      <c r="I234" s="8" t="n">
        <v>1</v>
      </c>
      <c r="J234" s="11" t="n">
        <v>93.4</v>
      </c>
      <c r="K234" s="4" t="n">
        <v>1281</v>
      </c>
      <c r="L234" s="8" t="n">
        <v>1</v>
      </c>
      <c r="M234" s="11" t="n">
        <v>89.2</v>
      </c>
      <c r="N234" s="4" t="n">
        <v>1063</v>
      </c>
      <c r="O234" s="8" t="n">
        <v>1</v>
      </c>
      <c r="P234" s="4" t="n">
        <f aca="false">H234+K234+N234</f>
        <v>3300</v>
      </c>
      <c r="Q234" s="4" t="n">
        <f aca="false">Q233+P234</f>
        <v>599079</v>
      </c>
      <c r="R234" s="4" t="n">
        <f aca="false">Q234-MAX(0,MAX($Q$2:Q234))</f>
        <v>0</v>
      </c>
    </row>
    <row r="235" customFormat="false" ht="15" hidden="false" customHeight="false" outlineLevel="0" collapsed="false">
      <c r="A235" s="7" t="n">
        <v>44882</v>
      </c>
      <c r="B235" s="8" t="n">
        <f aca="false">YEAR(A235)</f>
        <v>2022</v>
      </c>
      <c r="C235" s="8" t="n">
        <f aca="false">MONTH(A235)</f>
        <v>11</v>
      </c>
      <c r="D235" s="8" t="s">
        <v>36</v>
      </c>
      <c r="E235" s="9" t="n">
        <v>18358.7</v>
      </c>
      <c r="F235" s="10" t="n">
        <v>15.1</v>
      </c>
      <c r="G235" s="11" t="n">
        <v>109.6</v>
      </c>
      <c r="H235" s="4" t="n">
        <v>-902</v>
      </c>
      <c r="I235" s="8" t="n">
        <v>1</v>
      </c>
      <c r="J235" s="11" t="n">
        <v>104.3</v>
      </c>
      <c r="K235" s="4" t="n">
        <v>1824</v>
      </c>
      <c r="L235" s="8" t="n">
        <v>1</v>
      </c>
      <c r="M235" s="11" t="n">
        <v>101</v>
      </c>
      <c r="N235" s="4" t="n">
        <v>4289</v>
      </c>
      <c r="O235" s="8" t="n">
        <v>0</v>
      </c>
      <c r="P235" s="4" t="n">
        <f aca="false">H235+K235+N235</f>
        <v>5211</v>
      </c>
      <c r="Q235" s="4" t="n">
        <f aca="false">Q234+P235</f>
        <v>604290</v>
      </c>
      <c r="R235" s="4" t="n">
        <f aca="false">Q235-MAX(0,MAX($Q$2:Q235))</f>
        <v>0</v>
      </c>
    </row>
    <row r="236" customFormat="false" ht="15" hidden="false" customHeight="false" outlineLevel="0" collapsed="false">
      <c r="A236" s="7" t="n">
        <v>44889</v>
      </c>
      <c r="B236" s="8" t="n">
        <f aca="false">YEAR(A236)</f>
        <v>2022</v>
      </c>
      <c r="C236" s="8" t="n">
        <f aca="false">MONTH(A236)</f>
        <v>11</v>
      </c>
      <c r="D236" s="8" t="s">
        <v>36</v>
      </c>
      <c r="E236" s="9" t="n">
        <v>18326.1</v>
      </c>
      <c r="F236" s="10" t="n">
        <v>14.04</v>
      </c>
      <c r="G236" s="11" t="n">
        <v>75.3</v>
      </c>
      <c r="H236" s="4" t="n">
        <v>1564</v>
      </c>
      <c r="I236" s="8" t="n">
        <v>1</v>
      </c>
      <c r="J236" s="11" t="n">
        <v>73.1</v>
      </c>
      <c r="K236" s="4" t="n">
        <v>1308</v>
      </c>
      <c r="L236" s="8" t="n">
        <v>1</v>
      </c>
      <c r="M236" s="11" t="n">
        <v>71.6</v>
      </c>
      <c r="N236" s="4" t="n">
        <v>482</v>
      </c>
      <c r="O236" s="8" t="n">
        <v>1</v>
      </c>
      <c r="P236" s="4" t="n">
        <f aca="false">H236+K236+N236</f>
        <v>3354</v>
      </c>
      <c r="Q236" s="4" t="n">
        <f aca="false">Q235+P236</f>
        <v>607644</v>
      </c>
      <c r="R236" s="4" t="n">
        <f aca="false">Q236-MAX(0,MAX($Q$2:Q236))</f>
        <v>0</v>
      </c>
    </row>
    <row r="237" customFormat="false" ht="15" hidden="false" customHeight="false" outlineLevel="0" collapsed="false">
      <c r="A237" s="7" t="n">
        <v>44896</v>
      </c>
      <c r="B237" s="8" t="n">
        <f aca="false">YEAR(A237)</f>
        <v>2022</v>
      </c>
      <c r="C237" s="8" t="n">
        <f aca="false">MONTH(A237)</f>
        <v>12</v>
      </c>
      <c r="D237" s="8" t="s">
        <v>36</v>
      </c>
      <c r="E237" s="9" t="n">
        <v>18872</v>
      </c>
      <c r="F237" s="10" t="n">
        <v>13.81</v>
      </c>
      <c r="G237" s="11" t="n">
        <v>70.6</v>
      </c>
      <c r="H237" s="4" t="n">
        <v>2279</v>
      </c>
      <c r="I237" s="8" t="n">
        <v>1</v>
      </c>
      <c r="J237" s="11" t="n">
        <v>66.9</v>
      </c>
      <c r="K237" s="4" t="n">
        <v>783</v>
      </c>
      <c r="L237" s="8" t="n">
        <v>1</v>
      </c>
      <c r="M237" s="11" t="n">
        <v>65</v>
      </c>
      <c r="N237" s="4" t="n">
        <v>400</v>
      </c>
      <c r="O237" s="8" t="n">
        <v>1</v>
      </c>
      <c r="P237" s="4" t="n">
        <f aca="false">H237+K237+N237</f>
        <v>3462</v>
      </c>
      <c r="Q237" s="4" t="n">
        <f aca="false">Q236+P237</f>
        <v>611106</v>
      </c>
      <c r="R237" s="4" t="n">
        <f aca="false">Q237-MAX(0,MAX($Q$2:Q237))</f>
        <v>0</v>
      </c>
    </row>
    <row r="238" customFormat="false" ht="15" hidden="false" customHeight="false" outlineLevel="0" collapsed="false">
      <c r="A238" s="7" t="n">
        <v>44903</v>
      </c>
      <c r="B238" s="8" t="n">
        <f aca="false">YEAR(A238)</f>
        <v>2022</v>
      </c>
      <c r="C238" s="8" t="n">
        <f aca="false">MONTH(A238)</f>
        <v>12</v>
      </c>
      <c r="D238" s="8" t="s">
        <v>36</v>
      </c>
      <c r="E238" s="9" t="n">
        <v>18570.8</v>
      </c>
      <c r="F238" s="10" t="n">
        <v>14.08</v>
      </c>
      <c r="G238" s="11" t="n">
        <v>94</v>
      </c>
      <c r="H238" s="4" t="n">
        <v>828</v>
      </c>
      <c r="I238" s="8" t="n">
        <v>1</v>
      </c>
      <c r="J238" s="11" t="n">
        <v>92.2</v>
      </c>
      <c r="K238" s="4" t="n">
        <v>1849</v>
      </c>
      <c r="L238" s="8" t="n">
        <v>1</v>
      </c>
      <c r="M238" s="11" t="n">
        <v>85.3</v>
      </c>
      <c r="N238" s="4" t="n">
        <v>391</v>
      </c>
      <c r="O238" s="8" t="n">
        <v>1</v>
      </c>
      <c r="P238" s="4" t="n">
        <f aca="false">H238+K238+N238</f>
        <v>3068</v>
      </c>
      <c r="Q238" s="4" t="n">
        <f aca="false">Q237+P238</f>
        <v>614174</v>
      </c>
      <c r="R238" s="4" t="n">
        <f aca="false">Q238-MAX(0,MAX($Q$2:Q238))</f>
        <v>0</v>
      </c>
    </row>
    <row r="239" customFormat="false" ht="15" hidden="false" customHeight="false" outlineLevel="0" collapsed="false">
      <c r="A239" s="7" t="n">
        <v>44910</v>
      </c>
      <c r="B239" s="8" t="n">
        <f aca="false">YEAR(A239)</f>
        <v>2022</v>
      </c>
      <c r="C239" s="8" t="n">
        <f aca="false">MONTH(A239)</f>
        <v>12</v>
      </c>
      <c r="D239" s="8" t="s">
        <v>36</v>
      </c>
      <c r="E239" s="9" t="n">
        <v>18614.4</v>
      </c>
      <c r="F239" s="10" t="n">
        <v>12.89</v>
      </c>
      <c r="G239" s="11" t="n">
        <v>106.6</v>
      </c>
      <c r="H239" s="4" t="n">
        <v>1762</v>
      </c>
      <c r="I239" s="8" t="n">
        <v>1</v>
      </c>
      <c r="J239" s="11" t="n">
        <v>104.4</v>
      </c>
      <c r="K239" s="4" t="n">
        <v>1250</v>
      </c>
      <c r="L239" s="8" t="n">
        <v>1</v>
      </c>
      <c r="M239" s="11" t="n">
        <v>98.9</v>
      </c>
      <c r="N239" s="4" t="n">
        <v>1416</v>
      </c>
      <c r="O239" s="8" t="n">
        <v>1</v>
      </c>
      <c r="P239" s="4" t="n">
        <f aca="false">H239+K239+N239</f>
        <v>4428</v>
      </c>
      <c r="Q239" s="4" t="n">
        <f aca="false">Q238+P239</f>
        <v>618602</v>
      </c>
      <c r="R239" s="4" t="n">
        <f aca="false">Q239-MAX(0,MAX($Q$2:Q239))</f>
        <v>0</v>
      </c>
    </row>
    <row r="240" customFormat="false" ht="15" hidden="false" customHeight="false" outlineLevel="0" collapsed="false">
      <c r="A240" s="7" t="n">
        <v>44917</v>
      </c>
      <c r="B240" s="8" t="n">
        <f aca="false">YEAR(A240)</f>
        <v>2022</v>
      </c>
      <c r="C240" s="8" t="n">
        <f aca="false">MONTH(A240)</f>
        <v>12</v>
      </c>
      <c r="D240" s="8" t="s">
        <v>36</v>
      </c>
      <c r="E240" s="9" t="n">
        <v>18288.8</v>
      </c>
      <c r="F240" s="10" t="n">
        <v>15.56</v>
      </c>
      <c r="G240" s="11" t="n">
        <v>94.3</v>
      </c>
      <c r="H240" s="4" t="n">
        <v>-2155</v>
      </c>
      <c r="I240" s="8" t="n">
        <v>2</v>
      </c>
      <c r="J240" s="11" t="n">
        <v>91.8</v>
      </c>
      <c r="K240" s="4" t="n">
        <v>1398</v>
      </c>
      <c r="L240" s="8" t="n">
        <v>1</v>
      </c>
      <c r="M240" s="11" t="n">
        <v>88.4</v>
      </c>
      <c r="N240" s="4" t="n">
        <v>-2035</v>
      </c>
      <c r="O240" s="8" t="n">
        <v>2</v>
      </c>
      <c r="P240" s="4" t="n">
        <f aca="false">H240+K240+N240</f>
        <v>-2792</v>
      </c>
      <c r="Q240" s="4" t="n">
        <f aca="false">Q239+P240</f>
        <v>615810</v>
      </c>
      <c r="R240" s="4" t="n">
        <f aca="false">Q240-MAX(0,MAX($Q$2:Q240))</f>
        <v>-2792</v>
      </c>
    </row>
    <row r="241" customFormat="false" ht="15" hidden="false" customHeight="false" outlineLevel="0" collapsed="false">
      <c r="A241" s="7" t="n">
        <v>44924</v>
      </c>
      <c r="B241" s="8" t="n">
        <f aca="false">YEAR(A241)</f>
        <v>2022</v>
      </c>
      <c r="C241" s="8" t="n">
        <f aca="false">MONTH(A241)</f>
        <v>12</v>
      </c>
      <c r="D241" s="8" t="s">
        <v>36</v>
      </c>
      <c r="E241" s="9" t="n">
        <v>18045.7</v>
      </c>
      <c r="F241" s="10" t="n">
        <v>15.4</v>
      </c>
      <c r="G241" s="11" t="n">
        <v>100.7</v>
      </c>
      <c r="H241" s="4" t="n">
        <v>1384</v>
      </c>
      <c r="I241" s="8" t="n">
        <v>1</v>
      </c>
      <c r="J241" s="11" t="n">
        <v>98.3</v>
      </c>
      <c r="K241" s="4" t="n">
        <v>1129</v>
      </c>
      <c r="L241" s="8" t="n">
        <v>1</v>
      </c>
      <c r="M241" s="11" t="n">
        <v>93</v>
      </c>
      <c r="N241" s="4" t="n">
        <v>1304</v>
      </c>
      <c r="O241" s="8" t="n">
        <v>1</v>
      </c>
      <c r="P241" s="4" t="n">
        <f aca="false">H241+K241+N241</f>
        <v>3817</v>
      </c>
      <c r="Q241" s="4" t="n">
        <f aca="false">Q240+P241</f>
        <v>619627</v>
      </c>
      <c r="R241" s="4" t="n">
        <f aca="false">Q241-MAX(0,MAX($Q$2:Q241))</f>
        <v>0</v>
      </c>
    </row>
    <row r="242" customFormat="false" ht="15" hidden="false" customHeight="false" outlineLevel="0" collapsed="false">
      <c r="A242" s="7" t="n">
        <v>44931</v>
      </c>
      <c r="B242" s="8" t="n">
        <f aca="false">YEAR(A242)</f>
        <v>2023</v>
      </c>
      <c r="C242" s="8" t="n">
        <f aca="false">MONTH(A242)</f>
        <v>1</v>
      </c>
      <c r="D242" s="8" t="s">
        <v>36</v>
      </c>
      <c r="E242" s="9" t="n">
        <v>18102</v>
      </c>
      <c r="F242" s="10" t="n">
        <v>15.2</v>
      </c>
      <c r="G242" s="11" t="n">
        <v>108.3</v>
      </c>
      <c r="H242" s="4" t="n">
        <v>-2442</v>
      </c>
      <c r="I242" s="8" t="n">
        <v>2</v>
      </c>
      <c r="J242" s="11" t="n">
        <v>104.7</v>
      </c>
      <c r="K242" s="4" t="n">
        <v>-2368</v>
      </c>
      <c r="L242" s="8" t="n">
        <v>2</v>
      </c>
      <c r="M242" s="11" t="n">
        <v>100</v>
      </c>
      <c r="N242" s="4" t="n">
        <v>2286</v>
      </c>
      <c r="O242" s="8" t="n">
        <v>1</v>
      </c>
      <c r="P242" s="4" t="n">
        <f aca="false">H242+K242+N242</f>
        <v>-2524</v>
      </c>
      <c r="Q242" s="4" t="n">
        <f aca="false">Q241+P242</f>
        <v>617103</v>
      </c>
      <c r="R242" s="4" t="n">
        <f aca="false">Q242-MAX(0,MAX($Q$2:Q242))</f>
        <v>-2524</v>
      </c>
    </row>
    <row r="243" customFormat="false" ht="15" hidden="false" customHeight="false" outlineLevel="0" collapsed="false">
      <c r="A243" s="7" t="n">
        <v>44938</v>
      </c>
      <c r="B243" s="8" t="n">
        <f aca="false">YEAR(A243)</f>
        <v>2023</v>
      </c>
      <c r="C243" s="8" t="n">
        <f aca="false">MONTH(A243)</f>
        <v>1</v>
      </c>
      <c r="D243" s="8" t="s">
        <v>36</v>
      </c>
      <c r="E243" s="9" t="n">
        <v>17920.8</v>
      </c>
      <c r="F243" s="10" t="n">
        <v>15.44</v>
      </c>
      <c r="G243" s="11" t="n">
        <v>113.4</v>
      </c>
      <c r="H243" s="4" t="n">
        <v>2381</v>
      </c>
      <c r="I243" s="8" t="n">
        <v>1</v>
      </c>
      <c r="J243" s="11" t="n">
        <v>110</v>
      </c>
      <c r="K243" s="4" t="n">
        <v>1580</v>
      </c>
      <c r="L243" s="8" t="n">
        <v>1</v>
      </c>
      <c r="M243" s="11" t="n">
        <v>105.9</v>
      </c>
      <c r="N243" s="4" t="n">
        <v>2807</v>
      </c>
      <c r="O243" s="8" t="n">
        <v>0</v>
      </c>
      <c r="P243" s="4" t="n">
        <f aca="false">H243+K243+N243</f>
        <v>6768</v>
      </c>
      <c r="Q243" s="4" t="n">
        <f aca="false">Q242+P243</f>
        <v>623871</v>
      </c>
      <c r="R243" s="4" t="n">
        <f aca="false">Q243-MAX(0,MAX($Q$2:Q243))</f>
        <v>0</v>
      </c>
    </row>
    <row r="244" customFormat="false" ht="15" hidden="false" customHeight="false" outlineLevel="0" collapsed="false">
      <c r="A244" s="7" t="n">
        <v>44945</v>
      </c>
      <c r="B244" s="8" t="n">
        <f aca="false">YEAR(A244)</f>
        <v>2023</v>
      </c>
      <c r="C244" s="8" t="n">
        <f aca="false">MONTH(A244)</f>
        <v>1</v>
      </c>
      <c r="D244" s="8" t="s">
        <v>36</v>
      </c>
      <c r="E244" s="9" t="n">
        <v>18119.8</v>
      </c>
      <c r="F244" s="10" t="n">
        <v>14.37</v>
      </c>
      <c r="G244" s="11" t="n">
        <v>102.9</v>
      </c>
      <c r="H244" s="4" t="n">
        <v>-2330</v>
      </c>
      <c r="I244" s="8" t="n">
        <v>2</v>
      </c>
      <c r="J244" s="11" t="n">
        <v>102.1</v>
      </c>
      <c r="K244" s="4" t="n">
        <v>831</v>
      </c>
      <c r="L244" s="8" t="n">
        <v>1</v>
      </c>
      <c r="M244" s="11" t="n">
        <v>95.1</v>
      </c>
      <c r="N244" s="4" t="n">
        <v>1205</v>
      </c>
      <c r="O244" s="8" t="n">
        <v>1</v>
      </c>
      <c r="P244" s="4" t="n">
        <f aca="false">H244+K244+N244</f>
        <v>-294</v>
      </c>
      <c r="Q244" s="4" t="n">
        <f aca="false">Q243+P244</f>
        <v>623577</v>
      </c>
      <c r="R244" s="4" t="n">
        <f aca="false">Q244-MAX(0,MAX($Q$2:Q244))</f>
        <v>-294</v>
      </c>
    </row>
    <row r="245" customFormat="false" ht="15" hidden="false" customHeight="false" outlineLevel="0" collapsed="false">
      <c r="A245" s="7" t="n">
        <v>44951</v>
      </c>
      <c r="B245" s="8" t="n">
        <f aca="false">YEAR(A245)</f>
        <v>2023</v>
      </c>
      <c r="C245" s="8" t="n">
        <f aca="false">MONTH(A245)</f>
        <v>1</v>
      </c>
      <c r="D245" s="8" t="s">
        <v>37</v>
      </c>
      <c r="E245" s="9" t="n">
        <v>18093.4</v>
      </c>
      <c r="F245" s="10" t="n">
        <v>13.66</v>
      </c>
      <c r="G245" s="11" t="n">
        <v>78.7</v>
      </c>
      <c r="H245" s="4" t="n">
        <v>2433</v>
      </c>
      <c r="I245" s="8" t="n">
        <v>1</v>
      </c>
      <c r="J245" s="11" t="n">
        <v>74.7</v>
      </c>
      <c r="K245" s="4" t="n">
        <v>1168</v>
      </c>
      <c r="L245" s="8" t="n">
        <v>1</v>
      </c>
      <c r="M245" s="11" t="n">
        <v>71.8</v>
      </c>
      <c r="N245" s="4" t="n">
        <v>731</v>
      </c>
      <c r="O245" s="8" t="n">
        <v>1</v>
      </c>
      <c r="P245" s="4" t="n">
        <f aca="false">H245+K245+N245</f>
        <v>4332</v>
      </c>
      <c r="Q245" s="4" t="n">
        <f aca="false">Q244+P245</f>
        <v>627909</v>
      </c>
      <c r="R245" s="4" t="n">
        <f aca="false">Q245-MAX(0,MAX($Q$2:Q245))</f>
        <v>0</v>
      </c>
    </row>
    <row r="246" customFormat="false" ht="15" hidden="false" customHeight="false" outlineLevel="0" collapsed="false">
      <c r="A246" s="7" t="n">
        <v>44959</v>
      </c>
      <c r="B246" s="8" t="n">
        <f aca="false">YEAR(A246)</f>
        <v>2023</v>
      </c>
      <c r="C246" s="8" t="n">
        <f aca="false">MONTH(A246)</f>
        <v>2</v>
      </c>
      <c r="D246" s="8" t="s">
        <v>36</v>
      </c>
      <c r="E246" s="9" t="n">
        <v>17517.1</v>
      </c>
      <c r="F246" s="10" t="n">
        <v>16.78</v>
      </c>
      <c r="G246" s="11" t="n">
        <v>142.8</v>
      </c>
      <c r="H246" s="4" t="n">
        <v>2827</v>
      </c>
      <c r="I246" s="8" t="n">
        <v>1</v>
      </c>
      <c r="J246" s="11" t="n">
        <v>137.1</v>
      </c>
      <c r="K246" s="4" t="n">
        <v>-3030</v>
      </c>
      <c r="L246" s="8" t="n">
        <v>2</v>
      </c>
      <c r="M246" s="11" t="n">
        <v>130.9</v>
      </c>
      <c r="N246" s="4" t="n">
        <v>3499</v>
      </c>
      <c r="O246" s="8" t="n">
        <v>1</v>
      </c>
      <c r="P246" s="4" t="n">
        <f aca="false">H246+K246+N246</f>
        <v>3296</v>
      </c>
      <c r="Q246" s="4" t="n">
        <f aca="false">Q245+P246</f>
        <v>631205</v>
      </c>
      <c r="R246" s="4" t="n">
        <f aca="false">Q246-MAX(0,MAX($Q$2:Q246))</f>
        <v>0</v>
      </c>
    </row>
    <row r="247" customFormat="false" ht="15" hidden="false" customHeight="false" outlineLevel="0" collapsed="false">
      <c r="A247" s="7" t="n">
        <v>44966</v>
      </c>
      <c r="B247" s="8" t="n">
        <f aca="false">YEAR(A247)</f>
        <v>2023</v>
      </c>
      <c r="C247" s="8" t="n">
        <f aca="false">MONTH(A247)</f>
        <v>2</v>
      </c>
      <c r="D247" s="8" t="s">
        <v>36</v>
      </c>
      <c r="E247" s="9" t="n">
        <v>17885.5</v>
      </c>
      <c r="F247" s="10" t="n">
        <v>13.6</v>
      </c>
      <c r="G247" s="11" t="n">
        <v>104.8</v>
      </c>
      <c r="H247" s="4" t="n">
        <v>2359</v>
      </c>
      <c r="I247" s="8" t="n">
        <v>1</v>
      </c>
      <c r="J247" s="11" t="n">
        <v>101.9</v>
      </c>
      <c r="K247" s="4" t="n">
        <v>1824</v>
      </c>
      <c r="L247" s="8" t="n">
        <v>1</v>
      </c>
      <c r="M247" s="11" t="n">
        <v>99.2</v>
      </c>
      <c r="N247" s="4" t="n">
        <v>191</v>
      </c>
      <c r="O247" s="8" t="n">
        <v>1</v>
      </c>
      <c r="P247" s="4" t="n">
        <f aca="false">H247+K247+N247</f>
        <v>4374</v>
      </c>
      <c r="Q247" s="4" t="n">
        <f aca="false">Q246+P247</f>
        <v>635579</v>
      </c>
      <c r="R247" s="4" t="n">
        <f aca="false">Q247-MAX(0,MAX($Q$2:Q247))</f>
        <v>0</v>
      </c>
    </row>
    <row r="248" customFormat="false" ht="15" hidden="false" customHeight="false" outlineLevel="0" collapsed="false">
      <c r="A248" s="7" t="n">
        <v>44973</v>
      </c>
      <c r="B248" s="8" t="n">
        <f aca="false">YEAR(A248)</f>
        <v>2023</v>
      </c>
      <c r="C248" s="8" t="n">
        <f aca="false">MONTH(A248)</f>
        <v>2</v>
      </c>
      <c r="D248" s="8" t="s">
        <v>36</v>
      </c>
      <c r="E248" s="9" t="n">
        <v>18094.8</v>
      </c>
      <c r="F248" s="10" t="n">
        <v>12.86</v>
      </c>
      <c r="G248" s="11" t="n">
        <v>61.5</v>
      </c>
      <c r="H248" s="4" t="n">
        <v>573</v>
      </c>
      <c r="I248" s="8" t="n">
        <v>1</v>
      </c>
      <c r="J248" s="11" t="n">
        <v>63</v>
      </c>
      <c r="K248" s="4" t="n">
        <v>2383</v>
      </c>
      <c r="L248" s="8" t="n">
        <v>1</v>
      </c>
      <c r="M248" s="11" t="n">
        <v>55.9</v>
      </c>
      <c r="N248" s="4" t="n">
        <v>-1369</v>
      </c>
      <c r="O248" s="8" t="n">
        <v>2</v>
      </c>
      <c r="P248" s="4" t="n">
        <f aca="false">H248+K248+N248</f>
        <v>1587</v>
      </c>
      <c r="Q248" s="4" t="n">
        <f aca="false">Q247+P248</f>
        <v>637166</v>
      </c>
      <c r="R248" s="4" t="n">
        <f aca="false">Q248-MAX(0,MAX($Q$2:Q248))</f>
        <v>0</v>
      </c>
    </row>
    <row r="249" customFormat="false" ht="15" hidden="false" customHeight="false" outlineLevel="0" collapsed="false">
      <c r="A249" s="7" t="n">
        <v>44980</v>
      </c>
      <c r="B249" s="8" t="n">
        <f aca="false">YEAR(A249)</f>
        <v>2023</v>
      </c>
      <c r="C249" s="8" t="n">
        <f aca="false">MONTH(A249)</f>
        <v>2</v>
      </c>
      <c r="D249" s="8" t="s">
        <v>36</v>
      </c>
      <c r="E249" s="9" t="n">
        <v>17574.6</v>
      </c>
      <c r="F249" s="10" t="n">
        <v>15.59</v>
      </c>
      <c r="G249" s="11" t="n">
        <v>106</v>
      </c>
      <c r="H249" s="4" t="n">
        <v>1006</v>
      </c>
      <c r="I249" s="8" t="n">
        <v>1</v>
      </c>
      <c r="J249" s="11" t="n">
        <v>101.8</v>
      </c>
      <c r="K249" s="4" t="n">
        <v>2202</v>
      </c>
      <c r="L249" s="8" t="n">
        <v>1</v>
      </c>
      <c r="M249" s="11" t="n">
        <v>96.9</v>
      </c>
      <c r="N249" s="4" t="n">
        <v>1968</v>
      </c>
      <c r="O249" s="8" t="n">
        <v>1</v>
      </c>
      <c r="P249" s="4" t="n">
        <f aca="false">H249+K249+N249</f>
        <v>5176</v>
      </c>
      <c r="Q249" s="4" t="n">
        <f aca="false">Q248+P249</f>
        <v>642342</v>
      </c>
      <c r="R249" s="4" t="n">
        <f aca="false">Q249-MAX(0,MAX($Q$2:Q249))</f>
        <v>0</v>
      </c>
    </row>
    <row r="250" customFormat="false" ht="15" hidden="false" customHeight="false" outlineLevel="0" collapsed="false">
      <c r="A250" s="7" t="n">
        <v>44987</v>
      </c>
      <c r="B250" s="8" t="n">
        <f aca="false">YEAR(A250)</f>
        <v>2023</v>
      </c>
      <c r="C250" s="8" t="n">
        <f aca="false">MONTH(A250)</f>
        <v>3</v>
      </c>
      <c r="D250" s="8" t="s">
        <v>36</v>
      </c>
      <c r="E250" s="9" t="n">
        <v>17421.5</v>
      </c>
      <c r="F250" s="10" t="n">
        <v>13</v>
      </c>
      <c r="G250" s="11" t="n">
        <v>93</v>
      </c>
      <c r="H250" s="4" t="n">
        <v>1536</v>
      </c>
      <c r="I250" s="8" t="n">
        <v>1</v>
      </c>
      <c r="J250" s="11" t="n">
        <v>90.6</v>
      </c>
      <c r="K250" s="4" t="n">
        <v>-2078</v>
      </c>
      <c r="L250" s="8" t="n">
        <v>2</v>
      </c>
      <c r="M250" s="11" t="n">
        <v>86.8</v>
      </c>
      <c r="N250" s="4" t="n">
        <v>984</v>
      </c>
      <c r="O250" s="8" t="n">
        <v>1</v>
      </c>
      <c r="P250" s="4" t="n">
        <f aca="false">H250+K250+N250</f>
        <v>442</v>
      </c>
      <c r="Q250" s="4" t="n">
        <f aca="false">Q249+P250</f>
        <v>642784</v>
      </c>
      <c r="R250" s="4" t="n">
        <f aca="false">Q250-MAX(0,MAX($Q$2:Q250))</f>
        <v>0</v>
      </c>
    </row>
    <row r="251" customFormat="false" ht="15" hidden="false" customHeight="false" outlineLevel="0" collapsed="false">
      <c r="A251" s="7" t="n">
        <v>44994</v>
      </c>
      <c r="B251" s="8" t="n">
        <f aca="false">YEAR(A251)</f>
        <v>2023</v>
      </c>
      <c r="C251" s="8" t="n">
        <f aca="false">MONTH(A251)</f>
        <v>3</v>
      </c>
      <c r="D251" s="8" t="s">
        <v>36</v>
      </c>
      <c r="E251" s="9" t="n">
        <v>17772</v>
      </c>
      <c r="F251" s="10" t="n">
        <v>12.45</v>
      </c>
      <c r="G251" s="11" t="n">
        <v>76.1</v>
      </c>
      <c r="H251" s="4" t="n">
        <v>2663</v>
      </c>
      <c r="I251" s="8" t="n">
        <v>1</v>
      </c>
      <c r="J251" s="11" t="n">
        <v>71</v>
      </c>
      <c r="K251" s="4" t="n">
        <v>-1677</v>
      </c>
      <c r="L251" s="8" t="n">
        <v>2</v>
      </c>
      <c r="M251" s="11" t="n">
        <v>67.2</v>
      </c>
      <c r="N251" s="4" t="n">
        <v>-1601</v>
      </c>
      <c r="O251" s="8" t="n">
        <v>2</v>
      </c>
      <c r="P251" s="4" t="n">
        <f aca="false">H251+K251+N251</f>
        <v>-615</v>
      </c>
      <c r="Q251" s="4" t="n">
        <f aca="false">Q250+P251</f>
        <v>642169</v>
      </c>
      <c r="R251" s="4" t="n">
        <f aca="false">Q251-MAX(0,MAX($Q$2:Q251))</f>
        <v>-615</v>
      </c>
    </row>
    <row r="252" customFormat="false" ht="15" hidden="false" customHeight="false" outlineLevel="0" collapsed="false">
      <c r="A252" s="7" t="n">
        <v>45001</v>
      </c>
      <c r="B252" s="8" t="n">
        <f aca="false">YEAR(A252)</f>
        <v>2023</v>
      </c>
      <c r="C252" s="8" t="n">
        <f aca="false">MONTH(A252)</f>
        <v>3</v>
      </c>
      <c r="D252" s="8" t="s">
        <v>36</v>
      </c>
      <c r="E252" s="9" t="n">
        <v>16994.6</v>
      </c>
      <c r="F252" s="10" t="n">
        <v>16.3</v>
      </c>
      <c r="G252" s="11" t="n">
        <v>126.6</v>
      </c>
      <c r="H252" s="4" t="n">
        <v>1724</v>
      </c>
      <c r="I252" s="8" t="n">
        <v>1</v>
      </c>
      <c r="J252" s="11" t="n">
        <v>122.7</v>
      </c>
      <c r="K252" s="4" t="n">
        <v>1735</v>
      </c>
      <c r="L252" s="8" t="n">
        <v>1</v>
      </c>
      <c r="M252" s="11" t="n">
        <v>116.8</v>
      </c>
      <c r="N252" s="4" t="n">
        <v>2268</v>
      </c>
      <c r="O252" s="8" t="n">
        <v>1</v>
      </c>
      <c r="P252" s="4" t="n">
        <f aca="false">H252+K252+N252</f>
        <v>5727</v>
      </c>
      <c r="Q252" s="4" t="n">
        <f aca="false">Q251+P252</f>
        <v>647896</v>
      </c>
      <c r="R252" s="4" t="n">
        <f aca="false">Q252-MAX(0,MAX($Q$2:Q252))</f>
        <v>0</v>
      </c>
    </row>
    <row r="253" customFormat="false" ht="15" hidden="false" customHeight="false" outlineLevel="0" collapsed="false">
      <c r="A253" s="7" t="n">
        <v>45008</v>
      </c>
      <c r="B253" s="8" t="n">
        <f aca="false">YEAR(A253)</f>
        <v>2023</v>
      </c>
      <c r="C253" s="8" t="n">
        <f aca="false">MONTH(A253)</f>
        <v>3</v>
      </c>
      <c r="D253" s="8" t="s">
        <v>36</v>
      </c>
      <c r="E253" s="9" t="n">
        <v>17097.4</v>
      </c>
      <c r="F253" s="10" t="n">
        <v>14.81</v>
      </c>
      <c r="G253" s="11" t="n">
        <v>116.7</v>
      </c>
      <c r="H253" s="4" t="n">
        <v>915</v>
      </c>
      <c r="I253" s="8" t="n">
        <v>1</v>
      </c>
      <c r="J253" s="11" t="n">
        <v>113.4</v>
      </c>
      <c r="K253" s="4" t="n">
        <v>-2546</v>
      </c>
      <c r="L253" s="8" t="n">
        <v>2</v>
      </c>
      <c r="M253" s="11" t="n">
        <v>109.1</v>
      </c>
      <c r="N253" s="4" t="n">
        <v>3118</v>
      </c>
      <c r="O253" s="8" t="n">
        <v>1</v>
      </c>
      <c r="P253" s="4" t="n">
        <f aca="false">H253+K253+N253</f>
        <v>1487</v>
      </c>
      <c r="Q253" s="4" t="n">
        <f aca="false">Q252+P253</f>
        <v>649383</v>
      </c>
      <c r="R253" s="4" t="n">
        <f aca="false">Q253-MAX(0,MAX($Q$2:Q253))</f>
        <v>0</v>
      </c>
    </row>
    <row r="254" customFormat="false" ht="15" hidden="false" customHeight="false" outlineLevel="0" collapsed="false">
      <c r="A254" s="7" t="n">
        <v>45014</v>
      </c>
      <c r="B254" s="8" t="n">
        <f aca="false">YEAR(A254)</f>
        <v>2023</v>
      </c>
      <c r="C254" s="8" t="n">
        <f aca="false">MONTH(A254)</f>
        <v>3</v>
      </c>
      <c r="D254" s="8" t="s">
        <v>37</v>
      </c>
      <c r="E254" s="9" t="n">
        <v>16977.3</v>
      </c>
      <c r="F254" s="10" t="n">
        <v>15.1</v>
      </c>
      <c r="G254" s="11" t="n">
        <v>101.9</v>
      </c>
      <c r="H254" s="4" t="n">
        <v>-2310</v>
      </c>
      <c r="I254" s="8" t="n">
        <v>2</v>
      </c>
      <c r="J254" s="11" t="n">
        <v>98.2</v>
      </c>
      <c r="K254" s="4" t="n">
        <v>-2235</v>
      </c>
      <c r="L254" s="8" t="n">
        <v>2</v>
      </c>
      <c r="M254" s="11" t="n">
        <v>93.3</v>
      </c>
      <c r="N254" s="4" t="n">
        <v>-1160</v>
      </c>
      <c r="O254" s="8" t="n">
        <v>1</v>
      </c>
      <c r="P254" s="4" t="n">
        <f aca="false">H254+K254+N254</f>
        <v>-5705</v>
      </c>
      <c r="Q254" s="4" t="n">
        <f aca="false">Q253+P254</f>
        <v>643678</v>
      </c>
      <c r="R254" s="4" t="n">
        <f aca="false">Q254-MAX(0,MAX($Q$2:Q254))</f>
        <v>-5705</v>
      </c>
    </row>
    <row r="255" customFormat="false" ht="15" hidden="false" customHeight="false" outlineLevel="0" collapsed="false">
      <c r="A255" s="7" t="n">
        <v>45022</v>
      </c>
      <c r="B255" s="8" t="n">
        <f aca="false">YEAR(A255)</f>
        <v>2023</v>
      </c>
      <c r="C255" s="8" t="n">
        <f aca="false">MONTH(A255)</f>
        <v>4</v>
      </c>
      <c r="D255" s="8" t="s">
        <v>36</v>
      </c>
      <c r="E255" s="9" t="n">
        <v>17533.8</v>
      </c>
      <c r="F255" s="10" t="n">
        <v>12.41</v>
      </c>
      <c r="G255" s="11" t="n">
        <v>83.9</v>
      </c>
      <c r="H255" s="4" t="n">
        <v>-1942</v>
      </c>
      <c r="I255" s="8" t="n">
        <v>2</v>
      </c>
      <c r="J255" s="11" t="n">
        <v>82.7</v>
      </c>
      <c r="K255" s="4" t="n">
        <v>1612</v>
      </c>
      <c r="L255" s="8" t="n">
        <v>1</v>
      </c>
      <c r="M255" s="11" t="n">
        <v>77.6</v>
      </c>
      <c r="N255" s="4" t="n">
        <v>1013</v>
      </c>
      <c r="O255" s="8" t="n">
        <v>1</v>
      </c>
      <c r="P255" s="4" t="n">
        <f aca="false">H255+K255+N255</f>
        <v>683</v>
      </c>
      <c r="Q255" s="4" t="n">
        <f aca="false">Q254+P255</f>
        <v>644361</v>
      </c>
      <c r="R255" s="4" t="n">
        <f aca="false">Q255-MAX(0,MAX($Q$2:Q255))</f>
        <v>-5022</v>
      </c>
    </row>
    <row r="256" customFormat="false" ht="15" hidden="false" customHeight="false" outlineLevel="0" collapsed="false">
      <c r="A256" s="7" t="n">
        <v>45029</v>
      </c>
      <c r="B256" s="8" t="n">
        <f aca="false">YEAR(A256)</f>
        <v>2023</v>
      </c>
      <c r="C256" s="8" t="n">
        <f aca="false">MONTH(A256)</f>
        <v>4</v>
      </c>
      <c r="D256" s="8" t="s">
        <v>36</v>
      </c>
      <c r="E256" s="9" t="n">
        <v>17807.3</v>
      </c>
      <c r="F256" s="10" t="n">
        <v>12.27</v>
      </c>
      <c r="G256" s="11" t="n">
        <v>78.6</v>
      </c>
      <c r="H256" s="4" t="n">
        <v>-784</v>
      </c>
      <c r="I256" s="8" t="n">
        <v>1</v>
      </c>
      <c r="J256" s="11" t="n">
        <v>76.3</v>
      </c>
      <c r="K256" s="4" t="n">
        <v>-1045</v>
      </c>
      <c r="L256" s="8" t="n">
        <v>1</v>
      </c>
      <c r="M256" s="11" t="n">
        <v>73</v>
      </c>
      <c r="N256" s="4" t="n">
        <v>-675</v>
      </c>
      <c r="O256" s="8" t="n">
        <v>1</v>
      </c>
      <c r="P256" s="4" t="n">
        <f aca="false">H256+K256+N256</f>
        <v>-2504</v>
      </c>
      <c r="Q256" s="4" t="n">
        <f aca="false">Q255+P256</f>
        <v>641857</v>
      </c>
      <c r="R256" s="4" t="n">
        <f aca="false">Q256-MAX(0,MAX($Q$2:Q256))</f>
        <v>-7526</v>
      </c>
    </row>
    <row r="257" customFormat="false" ht="15" hidden="false" customHeight="false" outlineLevel="0" collapsed="false">
      <c r="A257" s="7" t="n">
        <v>45036</v>
      </c>
      <c r="B257" s="8" t="n">
        <f aca="false">YEAR(A257)</f>
        <v>2023</v>
      </c>
      <c r="C257" s="8" t="n">
        <f aca="false">MONTH(A257)</f>
        <v>4</v>
      </c>
      <c r="D257" s="8" t="s">
        <v>36</v>
      </c>
      <c r="E257" s="9" t="n">
        <v>17638.6</v>
      </c>
      <c r="F257" s="10" t="n">
        <v>12.15</v>
      </c>
      <c r="G257" s="11" t="n">
        <v>80</v>
      </c>
      <c r="H257" s="4" t="n">
        <v>2556</v>
      </c>
      <c r="I257" s="8" t="n">
        <v>1</v>
      </c>
      <c r="J257" s="11" t="n">
        <v>74.6</v>
      </c>
      <c r="K257" s="4" t="n">
        <v>1270</v>
      </c>
      <c r="L257" s="8" t="n">
        <v>1</v>
      </c>
      <c r="M257" s="11" t="n">
        <v>70.9</v>
      </c>
      <c r="N257" s="4" t="n">
        <v>1364</v>
      </c>
      <c r="O257" s="8" t="n">
        <v>1</v>
      </c>
      <c r="P257" s="4" t="n">
        <f aca="false">H257+K257+N257</f>
        <v>5190</v>
      </c>
      <c r="Q257" s="4" t="n">
        <f aca="false">Q256+P257</f>
        <v>647047</v>
      </c>
      <c r="R257" s="4" t="n">
        <f aca="false">Q257-MAX(0,MAX($Q$2:Q257))</f>
        <v>-2336</v>
      </c>
    </row>
    <row r="258" customFormat="false" ht="15" hidden="false" customHeight="false" outlineLevel="0" collapsed="false">
      <c r="A258" s="7" t="n">
        <v>45043</v>
      </c>
      <c r="B258" s="8" t="n">
        <f aca="false">YEAR(A258)</f>
        <v>2023</v>
      </c>
      <c r="C258" s="8" t="n">
        <f aca="false">MONTH(A258)</f>
        <v>4</v>
      </c>
      <c r="D258" s="8" t="s">
        <v>36</v>
      </c>
      <c r="E258" s="9" t="n">
        <v>17813.1</v>
      </c>
      <c r="F258" s="10" t="n">
        <v>11.65</v>
      </c>
      <c r="G258" s="11" t="n">
        <v>69.6</v>
      </c>
      <c r="H258" s="4" t="n">
        <v>1876</v>
      </c>
      <c r="I258" s="8" t="n">
        <v>1</v>
      </c>
      <c r="J258" s="11" t="n">
        <v>67</v>
      </c>
      <c r="K258" s="4" t="n">
        <v>1534</v>
      </c>
      <c r="L258" s="8" t="n">
        <v>1</v>
      </c>
      <c r="M258" s="11" t="n">
        <v>63.7</v>
      </c>
      <c r="N258" s="4" t="n">
        <v>1284</v>
      </c>
      <c r="O258" s="8" t="n">
        <v>1</v>
      </c>
      <c r="P258" s="4" t="n">
        <f aca="false">H258+K258+N258</f>
        <v>4694</v>
      </c>
      <c r="Q258" s="4" t="n">
        <f aca="false">Q257+P258</f>
        <v>651741</v>
      </c>
      <c r="R258" s="4" t="n">
        <f aca="false">Q258-MAX(0,MAX($Q$2:Q258))</f>
        <v>0</v>
      </c>
    </row>
    <row r="259" customFormat="false" ht="15" hidden="false" customHeight="false" outlineLevel="0" collapsed="false">
      <c r="A259" s="7" t="n">
        <v>45050</v>
      </c>
      <c r="B259" s="8" t="n">
        <f aca="false">YEAR(A259)</f>
        <v>2023</v>
      </c>
      <c r="C259" s="8" t="n">
        <f aca="false">MONTH(A259)</f>
        <v>5</v>
      </c>
      <c r="D259" s="8" t="s">
        <v>36</v>
      </c>
      <c r="E259" s="9" t="n">
        <v>18081</v>
      </c>
      <c r="F259" s="10" t="n">
        <v>11.84</v>
      </c>
      <c r="G259" s="11" t="n">
        <v>86.7</v>
      </c>
      <c r="H259" s="4" t="n">
        <v>1016</v>
      </c>
      <c r="I259" s="8" t="n">
        <v>1</v>
      </c>
      <c r="J259" s="11" t="n">
        <v>84.2</v>
      </c>
      <c r="K259" s="4" t="n">
        <v>2289</v>
      </c>
      <c r="L259" s="8" t="n">
        <v>1</v>
      </c>
      <c r="M259" s="11" t="n">
        <v>80.2</v>
      </c>
      <c r="N259" s="4" t="n">
        <v>2144</v>
      </c>
      <c r="O259" s="8" t="n">
        <v>1</v>
      </c>
      <c r="P259" s="4" t="n">
        <f aca="false">H259+K259+N259</f>
        <v>5449</v>
      </c>
      <c r="Q259" s="4" t="n">
        <f aca="false">Q258+P259</f>
        <v>657190</v>
      </c>
      <c r="R259" s="4" t="n">
        <f aca="false">Q259-MAX(0,MAX($Q$2:Q259))</f>
        <v>0</v>
      </c>
    </row>
    <row r="260" customFormat="false" ht="15" hidden="false" customHeight="false" outlineLevel="0" collapsed="false">
      <c r="A260" s="7" t="n">
        <v>45057</v>
      </c>
      <c r="B260" s="8" t="n">
        <f aca="false">YEAR(A260)</f>
        <v>2023</v>
      </c>
      <c r="C260" s="8" t="n">
        <f aca="false">MONTH(A260)</f>
        <v>5</v>
      </c>
      <c r="D260" s="8" t="s">
        <v>36</v>
      </c>
      <c r="E260" s="9" t="n">
        <v>18357.8</v>
      </c>
      <c r="F260" s="10" t="n">
        <v>13.08</v>
      </c>
      <c r="G260" s="11" t="n">
        <v>79.9</v>
      </c>
      <c r="H260" s="4" t="n">
        <v>299</v>
      </c>
      <c r="I260" s="8" t="n">
        <v>1</v>
      </c>
      <c r="J260" s="11" t="n">
        <v>77.1</v>
      </c>
      <c r="K260" s="4" t="n">
        <v>401</v>
      </c>
      <c r="L260" s="8" t="n">
        <v>1</v>
      </c>
      <c r="M260" s="11" t="n">
        <v>73.5</v>
      </c>
      <c r="N260" s="4" t="n">
        <v>981</v>
      </c>
      <c r="O260" s="8" t="n">
        <v>1</v>
      </c>
      <c r="P260" s="4" t="n">
        <f aca="false">H260+K260+N260</f>
        <v>1681</v>
      </c>
      <c r="Q260" s="4" t="n">
        <f aca="false">Q259+P260</f>
        <v>658871</v>
      </c>
      <c r="R260" s="4" t="n">
        <f aca="false">Q260-MAX(0,MAX($Q$2:Q260))</f>
        <v>0</v>
      </c>
    </row>
    <row r="261" customFormat="false" ht="15" hidden="false" customHeight="false" outlineLevel="0" collapsed="false">
      <c r="A261" s="7" t="n">
        <v>45064</v>
      </c>
      <c r="B261" s="8" t="n">
        <f aca="false">YEAR(A261)</f>
        <v>2023</v>
      </c>
      <c r="C261" s="8" t="n">
        <f aca="false">MONTH(A261)</f>
        <v>5</v>
      </c>
      <c r="D261" s="8" t="s">
        <v>36</v>
      </c>
      <c r="E261" s="9" t="n">
        <v>18287.5</v>
      </c>
      <c r="F261" s="10" t="n">
        <v>13.11</v>
      </c>
      <c r="G261" s="11" t="n">
        <v>64.9</v>
      </c>
      <c r="H261" s="4" t="n">
        <v>1859</v>
      </c>
      <c r="I261" s="8" t="n">
        <v>1</v>
      </c>
      <c r="J261" s="11" t="n">
        <v>65.1</v>
      </c>
      <c r="K261" s="4" t="n">
        <v>-1557</v>
      </c>
      <c r="L261" s="8" t="n">
        <v>2</v>
      </c>
      <c r="M261" s="11" t="n">
        <v>61.1</v>
      </c>
      <c r="N261" s="4" t="n">
        <v>-1475</v>
      </c>
      <c r="O261" s="8" t="n">
        <v>2</v>
      </c>
      <c r="P261" s="4" t="n">
        <f aca="false">H261+K261+N261</f>
        <v>-1173</v>
      </c>
      <c r="Q261" s="4" t="n">
        <f aca="false">Q260+P261</f>
        <v>657698</v>
      </c>
      <c r="R261" s="4" t="n">
        <f aca="false">Q261-MAX(0,MAX($Q$2:Q261))</f>
        <v>-1173</v>
      </c>
    </row>
    <row r="262" customFormat="false" ht="15" hidden="false" customHeight="false" outlineLevel="0" collapsed="false">
      <c r="A262" s="7" t="n">
        <v>45071</v>
      </c>
      <c r="B262" s="8" t="n">
        <f aca="false">YEAR(A262)</f>
        <v>2023</v>
      </c>
      <c r="C262" s="8" t="n">
        <f aca="false">MONTH(A262)</f>
        <v>5</v>
      </c>
      <c r="D262" s="8" t="s">
        <v>36</v>
      </c>
      <c r="E262" s="9" t="n">
        <v>18268.9</v>
      </c>
      <c r="F262" s="10" t="n">
        <v>13.11</v>
      </c>
      <c r="G262" s="11" t="n">
        <v>81.5</v>
      </c>
      <c r="H262" s="4" t="n">
        <v>-1892</v>
      </c>
      <c r="I262" s="8" t="n">
        <v>2</v>
      </c>
      <c r="J262" s="11" t="n">
        <v>79.4</v>
      </c>
      <c r="K262" s="4" t="n">
        <v>-1254</v>
      </c>
      <c r="L262" s="8" t="n">
        <v>1</v>
      </c>
      <c r="M262" s="11" t="n">
        <v>74.2</v>
      </c>
      <c r="N262" s="4" t="n">
        <v>-1743</v>
      </c>
      <c r="O262" s="8" t="n">
        <v>2</v>
      </c>
      <c r="P262" s="4" t="n">
        <f aca="false">H262+K262+N262</f>
        <v>-4889</v>
      </c>
      <c r="Q262" s="4" t="n">
        <f aca="false">Q261+P262</f>
        <v>652809</v>
      </c>
      <c r="R262" s="4" t="n">
        <f aca="false">Q262-MAX(0,MAX($Q$2:Q262))</f>
        <v>-6062</v>
      </c>
    </row>
    <row r="263" customFormat="false" ht="15" hidden="false" customHeight="false" outlineLevel="0" collapsed="false">
      <c r="A263" s="7" t="n">
        <v>45078</v>
      </c>
      <c r="B263" s="8" t="n">
        <f aca="false">YEAR(A263)</f>
        <v>2023</v>
      </c>
      <c r="C263" s="8" t="n">
        <f aca="false">MONTH(A263)</f>
        <v>6</v>
      </c>
      <c r="D263" s="8" t="s">
        <v>36</v>
      </c>
      <c r="E263" s="9" t="n">
        <v>18579.4</v>
      </c>
      <c r="F263" s="10" t="n">
        <v>11.97</v>
      </c>
      <c r="G263" s="11" t="n">
        <v>89.5</v>
      </c>
      <c r="H263" s="4" t="n">
        <v>2633</v>
      </c>
      <c r="I263" s="8" t="n">
        <v>1</v>
      </c>
      <c r="J263" s="11" t="n">
        <v>87.1</v>
      </c>
      <c r="K263" s="4" t="n">
        <v>855</v>
      </c>
      <c r="L263" s="8" t="n">
        <v>1</v>
      </c>
      <c r="M263" s="11" t="n">
        <v>83.1</v>
      </c>
      <c r="N263" s="4" t="n">
        <v>2501</v>
      </c>
      <c r="O263" s="8" t="n">
        <v>1</v>
      </c>
      <c r="P263" s="4" t="n">
        <f aca="false">H263+K263+N263</f>
        <v>5989</v>
      </c>
      <c r="Q263" s="4" t="n">
        <f aca="false">Q262+P263</f>
        <v>658798</v>
      </c>
      <c r="R263" s="4" t="n">
        <f aca="false">Q263-MAX(0,MAX($Q$2:Q263))</f>
        <v>-73</v>
      </c>
    </row>
    <row r="264" customFormat="false" ht="15" hidden="false" customHeight="false" outlineLevel="0" collapsed="false">
      <c r="A264" s="7" t="n">
        <v>45085</v>
      </c>
      <c r="B264" s="8" t="n">
        <f aca="false">YEAR(A264)</f>
        <v>2023</v>
      </c>
      <c r="C264" s="8" t="n">
        <f aca="false">MONTH(A264)</f>
        <v>6</v>
      </c>
      <c r="D264" s="8" t="s">
        <v>36</v>
      </c>
      <c r="E264" s="9" t="n">
        <v>18725.4</v>
      </c>
      <c r="F264" s="10" t="n">
        <v>11.44</v>
      </c>
      <c r="G264" s="11" t="n">
        <v>67.7</v>
      </c>
      <c r="H264" s="4" t="n">
        <v>-1611</v>
      </c>
      <c r="I264" s="8" t="n">
        <v>2</v>
      </c>
      <c r="J264" s="11" t="n">
        <v>66</v>
      </c>
      <c r="K264" s="4" t="n">
        <v>-1575</v>
      </c>
      <c r="L264" s="8" t="n">
        <v>2</v>
      </c>
      <c r="M264" s="11" t="n">
        <v>64.1</v>
      </c>
      <c r="N264" s="4" t="n">
        <v>1961</v>
      </c>
      <c r="O264" s="8" t="n">
        <v>1</v>
      </c>
      <c r="P264" s="4" t="n">
        <f aca="false">H264+K264+N264</f>
        <v>-1225</v>
      </c>
      <c r="Q264" s="4" t="n">
        <f aca="false">Q263+P264</f>
        <v>657573</v>
      </c>
      <c r="R264" s="4" t="n">
        <f aca="false">Q264-MAX(0,MAX($Q$2:Q264))</f>
        <v>-1298</v>
      </c>
    </row>
    <row r="265" customFormat="false" ht="15" hidden="false" customHeight="false" outlineLevel="0" collapsed="false">
      <c r="A265" s="7" t="n">
        <v>45092</v>
      </c>
      <c r="B265" s="8" t="n">
        <f aca="false">YEAR(A265)</f>
        <v>2023</v>
      </c>
      <c r="C265" s="8" t="n">
        <f aca="false">MONTH(A265)</f>
        <v>6</v>
      </c>
      <c r="D265" s="8" t="s">
        <v>36</v>
      </c>
      <c r="E265" s="9" t="n">
        <v>18774.4</v>
      </c>
      <c r="F265" s="10" t="n">
        <v>11.16</v>
      </c>
      <c r="G265" s="11" t="n">
        <v>67.8</v>
      </c>
      <c r="H265" s="4" t="n">
        <v>-1613</v>
      </c>
      <c r="I265" s="8" t="n">
        <v>2</v>
      </c>
      <c r="J265" s="11" t="n">
        <v>67.6</v>
      </c>
      <c r="K265" s="4" t="n">
        <v>478</v>
      </c>
      <c r="L265" s="8" t="n">
        <v>1</v>
      </c>
      <c r="M265" s="11" t="n">
        <v>63.7</v>
      </c>
      <c r="N265" s="4" t="n">
        <v>620</v>
      </c>
      <c r="O265" s="8" t="n">
        <v>1</v>
      </c>
      <c r="P265" s="4" t="n">
        <f aca="false">H265+K265+N265</f>
        <v>-515</v>
      </c>
      <c r="Q265" s="4" t="n">
        <f aca="false">Q264+P265</f>
        <v>657058</v>
      </c>
      <c r="R265" s="4" t="n">
        <f aca="false">Q265-MAX(0,MAX($Q$2:Q265))</f>
        <v>-1813</v>
      </c>
    </row>
    <row r="266" customFormat="false" ht="15" hidden="false" customHeight="false" outlineLevel="0" collapsed="false">
      <c r="A266" s="7" t="n">
        <v>45099</v>
      </c>
      <c r="B266" s="8" t="n">
        <f aca="false">YEAR(A266)</f>
        <v>2023</v>
      </c>
      <c r="C266" s="8" t="n">
        <f aca="false">MONTH(A266)</f>
        <v>6</v>
      </c>
      <c r="D266" s="8" t="s">
        <v>36</v>
      </c>
      <c r="E266" s="9" t="n">
        <v>18853.6</v>
      </c>
      <c r="F266" s="10" t="n">
        <v>11.29</v>
      </c>
      <c r="G266" s="11" t="n">
        <v>77.6</v>
      </c>
      <c r="H266" s="4" t="n">
        <v>2258</v>
      </c>
      <c r="I266" s="8" t="n">
        <v>1</v>
      </c>
      <c r="J266" s="11" t="n">
        <v>74.4</v>
      </c>
      <c r="K266" s="4" t="n">
        <v>-1748</v>
      </c>
      <c r="L266" s="8" t="n">
        <v>2</v>
      </c>
      <c r="M266" s="11" t="n">
        <v>72.4</v>
      </c>
      <c r="N266" s="4" t="n">
        <v>544</v>
      </c>
      <c r="O266" s="8" t="n">
        <v>1</v>
      </c>
      <c r="P266" s="4" t="n">
        <f aca="false">H266+K266+N266</f>
        <v>1054</v>
      </c>
      <c r="Q266" s="4" t="n">
        <f aca="false">Q265+P266</f>
        <v>658112</v>
      </c>
      <c r="R266" s="4" t="n">
        <f aca="false">Q266-MAX(0,MAX($Q$2:Q266))</f>
        <v>-759</v>
      </c>
    </row>
    <row r="267" customFormat="false" ht="15" hidden="false" customHeight="false" outlineLevel="0" collapsed="false">
      <c r="A267" s="7" t="n">
        <v>45105</v>
      </c>
      <c r="B267" s="8" t="n">
        <f aca="false">YEAR(A267)</f>
        <v>2023</v>
      </c>
      <c r="C267" s="8" t="n">
        <f aca="false">MONTH(A267)</f>
        <v>6</v>
      </c>
      <c r="D267" s="8" t="s">
        <v>37</v>
      </c>
      <c r="E267" s="9" t="n">
        <v>18908.2</v>
      </c>
      <c r="F267" s="10" t="n">
        <v>10.78</v>
      </c>
      <c r="G267" s="11" t="n">
        <v>78.5</v>
      </c>
      <c r="H267" s="4" t="n">
        <v>503</v>
      </c>
      <c r="I267" s="8" t="n">
        <v>1</v>
      </c>
      <c r="J267" s="11" t="n">
        <v>74.4</v>
      </c>
      <c r="K267" s="4" t="n">
        <v>1823</v>
      </c>
      <c r="L267" s="8" t="n">
        <v>1</v>
      </c>
      <c r="M267" s="11" t="n">
        <v>70.8</v>
      </c>
      <c r="N267" s="4" t="n">
        <v>1036</v>
      </c>
      <c r="O267" s="8" t="n">
        <v>1</v>
      </c>
      <c r="P267" s="4" t="n">
        <f aca="false">H267+K267+N267</f>
        <v>3362</v>
      </c>
      <c r="Q267" s="4" t="n">
        <f aca="false">Q266+P267</f>
        <v>661474</v>
      </c>
      <c r="R267" s="4" t="n">
        <f aca="false">Q267-MAX(0,MAX($Q$2:Q267))</f>
        <v>0</v>
      </c>
    </row>
    <row r="268" customFormat="false" ht="15" hidden="false" customHeight="false" outlineLevel="0" collapsed="false">
      <c r="A268" s="7" t="n">
        <v>45113</v>
      </c>
      <c r="B268" s="8" t="n">
        <f aca="false">YEAR(A268)</f>
        <v>2023</v>
      </c>
      <c r="C268" s="8" t="n">
        <f aca="false">MONTH(A268)</f>
        <v>7</v>
      </c>
      <c r="D268" s="8" t="s">
        <v>36</v>
      </c>
      <c r="E268" s="9" t="n">
        <v>19385.7</v>
      </c>
      <c r="F268" s="10" t="n">
        <v>11.88</v>
      </c>
      <c r="G268" s="11" t="n">
        <v>94.9</v>
      </c>
      <c r="H268" s="4" t="n">
        <v>1499</v>
      </c>
      <c r="I268" s="8" t="n">
        <v>1</v>
      </c>
      <c r="J268" s="11" t="n">
        <v>93.9</v>
      </c>
      <c r="K268" s="4" t="n">
        <v>833</v>
      </c>
      <c r="L268" s="8" t="n">
        <v>1</v>
      </c>
      <c r="M268" s="11" t="n">
        <v>87.7</v>
      </c>
      <c r="N268" s="4" t="n">
        <v>1696</v>
      </c>
      <c r="O268" s="8" t="n">
        <v>1</v>
      </c>
      <c r="P268" s="4" t="n">
        <f aca="false">H268+K268+N268</f>
        <v>4028</v>
      </c>
      <c r="Q268" s="4" t="n">
        <f aca="false">Q267+P268</f>
        <v>665502</v>
      </c>
      <c r="R268" s="4" t="n">
        <f aca="false">Q268-MAX(0,MAX($Q$2:Q268))</f>
        <v>0</v>
      </c>
    </row>
    <row r="269" customFormat="false" ht="15" hidden="false" customHeight="false" outlineLevel="0" collapsed="false">
      <c r="A269" s="7" t="n">
        <v>45120</v>
      </c>
      <c r="B269" s="8" t="n">
        <f aca="false">YEAR(A269)</f>
        <v>2023</v>
      </c>
      <c r="C269" s="8" t="n">
        <f aca="false">MONTH(A269)</f>
        <v>7</v>
      </c>
      <c r="D269" s="8" t="s">
        <v>36</v>
      </c>
      <c r="E269" s="9" t="n">
        <v>19495.2</v>
      </c>
      <c r="F269" s="10" t="n">
        <v>10.94</v>
      </c>
      <c r="G269" s="11" t="n">
        <v>104.3</v>
      </c>
      <c r="H269" s="4" t="n">
        <v>-2359</v>
      </c>
      <c r="I269" s="8" t="n">
        <v>2</v>
      </c>
      <c r="J269" s="11" t="n">
        <v>99.1</v>
      </c>
      <c r="K269" s="4" t="n">
        <v>2066</v>
      </c>
      <c r="L269" s="8" t="n">
        <v>1</v>
      </c>
      <c r="M269" s="11" t="n">
        <v>94.4</v>
      </c>
      <c r="N269" s="4" t="n">
        <v>2013</v>
      </c>
      <c r="O269" s="8" t="n">
        <v>1</v>
      </c>
      <c r="P269" s="4" t="n">
        <f aca="false">H269+K269+N269</f>
        <v>1720</v>
      </c>
      <c r="Q269" s="4" t="n">
        <f aca="false">Q268+P269</f>
        <v>667222</v>
      </c>
      <c r="R269" s="4" t="n">
        <f aca="false">Q269-MAX(0,MAX($Q$2:Q269))</f>
        <v>0</v>
      </c>
    </row>
    <row r="270" customFormat="false" ht="15" hidden="false" customHeight="false" outlineLevel="0" collapsed="false">
      <c r="A270" s="7" t="n">
        <v>45127</v>
      </c>
      <c r="B270" s="8" t="n">
        <f aca="false">YEAR(A270)</f>
        <v>2023</v>
      </c>
      <c r="C270" s="8" t="n">
        <f aca="false">MONTH(A270)</f>
        <v>7</v>
      </c>
      <c r="D270" s="8" t="s">
        <v>36</v>
      </c>
      <c r="E270" s="9" t="n">
        <v>19831.7</v>
      </c>
      <c r="F270" s="10" t="n">
        <v>11.6</v>
      </c>
      <c r="G270" s="11" t="n">
        <v>99.3</v>
      </c>
      <c r="H270" s="4" t="n">
        <v>2535</v>
      </c>
      <c r="I270" s="8" t="n">
        <v>1</v>
      </c>
      <c r="J270" s="11" t="n">
        <v>95.9</v>
      </c>
      <c r="K270" s="4" t="n">
        <v>-2188</v>
      </c>
      <c r="L270" s="8" t="n">
        <v>2</v>
      </c>
      <c r="M270" s="11" t="n">
        <v>91.6</v>
      </c>
      <c r="N270" s="4" t="n">
        <v>1910</v>
      </c>
      <c r="O270" s="8" t="n">
        <v>1</v>
      </c>
      <c r="P270" s="4" t="n">
        <f aca="false">H270+K270+N270</f>
        <v>2257</v>
      </c>
      <c r="Q270" s="4" t="n">
        <f aca="false">Q269+P270</f>
        <v>669479</v>
      </c>
      <c r="R270" s="4" t="n">
        <f aca="false">Q270-MAX(0,MAX($Q$2:Q270))</f>
        <v>0</v>
      </c>
    </row>
    <row r="271" customFormat="false" ht="15" hidden="false" customHeight="false" outlineLevel="0" collapsed="false">
      <c r="A271" s="7" t="n">
        <v>45134</v>
      </c>
      <c r="B271" s="8" t="n">
        <f aca="false">YEAR(A271)</f>
        <v>2023</v>
      </c>
      <c r="C271" s="8" t="n">
        <f aca="false">MONTH(A271)</f>
        <v>7</v>
      </c>
      <c r="D271" s="8" t="s">
        <v>36</v>
      </c>
      <c r="E271" s="9" t="n">
        <v>19850.9</v>
      </c>
      <c r="F271" s="10" t="n">
        <v>10.46</v>
      </c>
      <c r="G271" s="11" t="n">
        <v>100.1</v>
      </c>
      <c r="H271" s="4" t="n">
        <v>2464</v>
      </c>
      <c r="I271" s="8" t="n">
        <v>1</v>
      </c>
      <c r="J271" s="11" t="n">
        <v>97.3</v>
      </c>
      <c r="K271" s="4" t="n">
        <v>2584</v>
      </c>
      <c r="L271" s="8" t="n">
        <v>1</v>
      </c>
      <c r="M271" s="11" t="n">
        <v>92.3</v>
      </c>
      <c r="N271" s="4" t="n">
        <v>2189</v>
      </c>
      <c r="O271" s="8" t="n">
        <v>1</v>
      </c>
      <c r="P271" s="4" t="n">
        <f aca="false">H271+K271+N271</f>
        <v>7237</v>
      </c>
      <c r="Q271" s="4" t="n">
        <f aca="false">Q270+P271</f>
        <v>676716</v>
      </c>
      <c r="R271" s="4" t="n">
        <f aca="false">Q271-MAX(0,MAX($Q$2:Q271))</f>
        <v>0</v>
      </c>
    </row>
    <row r="272" customFormat="false" ht="15" hidden="false" customHeight="false" outlineLevel="0" collapsed="false">
      <c r="A272" s="7" t="n">
        <v>45141</v>
      </c>
      <c r="B272" s="8" t="n">
        <f aca="false">YEAR(A272)</f>
        <v>2023</v>
      </c>
      <c r="C272" s="8" t="n">
        <f aca="false">MONTH(A272)</f>
        <v>8</v>
      </c>
      <c r="D272" s="8" t="s">
        <v>36</v>
      </c>
      <c r="E272" s="9" t="n">
        <v>19463.8</v>
      </c>
      <c r="F272" s="10" t="n">
        <v>11.28</v>
      </c>
      <c r="G272" s="11" t="n">
        <v>92.6</v>
      </c>
      <c r="H272" s="4" t="n">
        <v>-2119</v>
      </c>
      <c r="I272" s="8" t="n">
        <v>2</v>
      </c>
      <c r="J272" s="11" t="n">
        <v>89.8</v>
      </c>
      <c r="K272" s="4" t="n">
        <v>1712</v>
      </c>
      <c r="L272" s="8" t="n">
        <v>1</v>
      </c>
      <c r="M272" s="11" t="n">
        <v>88</v>
      </c>
      <c r="N272" s="4" t="n">
        <v>-2025</v>
      </c>
      <c r="O272" s="8" t="n">
        <v>2</v>
      </c>
      <c r="P272" s="4" t="n">
        <f aca="false">H272+K272+N272</f>
        <v>-2432</v>
      </c>
      <c r="Q272" s="4" t="n">
        <f aca="false">Q271+P272</f>
        <v>674284</v>
      </c>
      <c r="R272" s="4" t="n">
        <f aca="false">Q272-MAX(0,MAX($Q$2:Q272))</f>
        <v>-2432</v>
      </c>
    </row>
    <row r="273" customFormat="false" ht="15" hidden="false" customHeight="false" outlineLevel="0" collapsed="false">
      <c r="A273" s="7" t="n">
        <v>45148</v>
      </c>
      <c r="B273" s="8" t="n">
        <f aca="false">YEAR(A273)</f>
        <v>2023</v>
      </c>
      <c r="C273" s="8" t="n">
        <f aca="false">MONTH(A273)</f>
        <v>8</v>
      </c>
      <c r="D273" s="8" t="s">
        <v>36</v>
      </c>
      <c r="E273" s="9" t="n">
        <v>19605.6</v>
      </c>
      <c r="F273" s="10" t="n">
        <v>11.14</v>
      </c>
      <c r="G273" s="11" t="n">
        <v>86</v>
      </c>
      <c r="H273" s="4" t="n">
        <v>-1985</v>
      </c>
      <c r="I273" s="8" t="n">
        <v>2</v>
      </c>
      <c r="J273" s="11" t="n">
        <v>83.4</v>
      </c>
      <c r="K273" s="4" t="n">
        <v>-1932</v>
      </c>
      <c r="L273" s="8" t="n">
        <v>2</v>
      </c>
      <c r="M273" s="11" t="n">
        <v>80.5</v>
      </c>
      <c r="N273" s="4" t="n">
        <v>754</v>
      </c>
      <c r="O273" s="8" t="n">
        <v>1</v>
      </c>
      <c r="P273" s="4" t="n">
        <f aca="false">H273+K273+N273</f>
        <v>-3163</v>
      </c>
      <c r="Q273" s="4" t="n">
        <f aca="false">Q272+P273</f>
        <v>671121</v>
      </c>
      <c r="R273" s="4" t="n">
        <f aca="false">Q273-MAX(0,MAX($Q$2:Q273))</f>
        <v>-5595</v>
      </c>
    </row>
    <row r="274" customFormat="false" ht="15" hidden="false" customHeight="false" outlineLevel="0" collapsed="false">
      <c r="A274" s="7" t="n">
        <v>45155</v>
      </c>
      <c r="B274" s="8" t="n">
        <f aca="false">YEAR(A274)</f>
        <v>2023</v>
      </c>
      <c r="C274" s="8" t="n">
        <f aca="false">MONTH(A274)</f>
        <v>8</v>
      </c>
      <c r="D274" s="8" t="s">
        <v>36</v>
      </c>
      <c r="E274" s="9" t="n">
        <v>19450.6</v>
      </c>
      <c r="F274" s="10" t="n">
        <v>12.13</v>
      </c>
      <c r="G274" s="11" t="n">
        <v>91.9</v>
      </c>
      <c r="H274" s="4" t="n">
        <v>2135</v>
      </c>
      <c r="I274" s="8" t="n">
        <v>1</v>
      </c>
      <c r="J274" s="11" t="n">
        <v>88.9</v>
      </c>
      <c r="K274" s="4" t="n">
        <v>1570</v>
      </c>
      <c r="L274" s="8" t="n">
        <v>1</v>
      </c>
      <c r="M274" s="11" t="n">
        <v>84.9</v>
      </c>
      <c r="N274" s="4" t="n">
        <v>1927</v>
      </c>
      <c r="O274" s="8" t="n">
        <v>1</v>
      </c>
      <c r="P274" s="4" t="n">
        <f aca="false">H274+K274+N274</f>
        <v>5632</v>
      </c>
      <c r="Q274" s="4" t="n">
        <f aca="false">Q273+P274</f>
        <v>676753</v>
      </c>
      <c r="R274" s="4" t="n">
        <f aca="false">Q274-MAX(0,MAX($Q$2:Q274))</f>
        <v>0</v>
      </c>
    </row>
    <row r="275" customFormat="false" ht="15" hidden="false" customHeight="false" outlineLevel="0" collapsed="false">
      <c r="A275" s="7" t="n">
        <v>45162</v>
      </c>
      <c r="B275" s="8" t="n">
        <f aca="false">YEAR(A275)</f>
        <v>2023</v>
      </c>
      <c r="C275" s="8" t="n">
        <f aca="false">MONTH(A275)</f>
        <v>8</v>
      </c>
      <c r="D275" s="8" t="s">
        <v>36</v>
      </c>
      <c r="E275" s="9" t="n">
        <v>19535.2</v>
      </c>
      <c r="F275" s="10" t="n">
        <v>11.73</v>
      </c>
      <c r="G275" s="11" t="n">
        <v>109.8</v>
      </c>
      <c r="H275" s="4" t="n">
        <v>3191</v>
      </c>
      <c r="I275" s="8" t="n">
        <v>1</v>
      </c>
      <c r="J275" s="11" t="n">
        <v>105.4</v>
      </c>
      <c r="K275" s="4" t="n">
        <v>2612</v>
      </c>
      <c r="L275" s="8" t="n">
        <v>1</v>
      </c>
      <c r="M275" s="11" t="n">
        <v>100.2</v>
      </c>
      <c r="N275" s="4" t="n">
        <v>1688</v>
      </c>
      <c r="O275" s="8" t="n">
        <v>1</v>
      </c>
      <c r="P275" s="4" t="n">
        <f aca="false">H275+K275+N275</f>
        <v>7491</v>
      </c>
      <c r="Q275" s="4" t="n">
        <f aca="false">Q274+P275</f>
        <v>684244</v>
      </c>
      <c r="R275" s="4" t="n">
        <f aca="false">Q275-MAX(0,MAX($Q$2:Q275))</f>
        <v>0</v>
      </c>
    </row>
    <row r="276" customFormat="false" ht="15" hidden="false" customHeight="false" outlineLevel="0" collapsed="false">
      <c r="A276" s="7" t="n">
        <v>45169</v>
      </c>
      <c r="B276" s="8" t="n">
        <f aca="false">YEAR(A276)</f>
        <v>2023</v>
      </c>
      <c r="C276" s="8" t="n">
        <f aca="false">MONTH(A276)</f>
        <v>8</v>
      </c>
      <c r="D276" s="8" t="s">
        <v>36</v>
      </c>
      <c r="E276" s="9" t="n">
        <v>19375.6</v>
      </c>
      <c r="F276" s="10" t="n">
        <v>11.8</v>
      </c>
      <c r="G276" s="11" t="n">
        <v>72.6</v>
      </c>
      <c r="H276" s="4" t="n">
        <v>2365</v>
      </c>
      <c r="I276" s="8" t="n">
        <v>1</v>
      </c>
      <c r="J276" s="11" t="n">
        <v>70</v>
      </c>
      <c r="K276" s="4" t="n">
        <v>496</v>
      </c>
      <c r="L276" s="8" t="n">
        <v>1</v>
      </c>
      <c r="M276" s="11" t="n">
        <v>65.7</v>
      </c>
      <c r="N276" s="4" t="n">
        <v>689</v>
      </c>
      <c r="O276" s="8" t="n">
        <v>1</v>
      </c>
      <c r="P276" s="4" t="n">
        <f aca="false">H276+K276+N276</f>
        <v>3550</v>
      </c>
      <c r="Q276" s="4" t="n">
        <f aca="false">Q275+P276</f>
        <v>687794</v>
      </c>
      <c r="R276" s="4" t="n">
        <f aca="false">Q276-MAX(0,MAX($Q$2:Q276))</f>
        <v>0</v>
      </c>
    </row>
    <row r="277" customFormat="false" ht="15" hidden="false" customHeight="false" outlineLevel="0" collapsed="false">
      <c r="A277" s="7" t="n">
        <v>45176</v>
      </c>
      <c r="B277" s="8" t="n">
        <f aca="false">YEAR(A277)</f>
        <v>2023</v>
      </c>
      <c r="C277" s="8" t="n">
        <f aca="false">MONTH(A277)</f>
        <v>9</v>
      </c>
      <c r="D277" s="8" t="s">
        <v>36</v>
      </c>
      <c r="E277" s="9" t="n">
        <v>19598.6</v>
      </c>
      <c r="F277" s="10" t="n">
        <v>10.68</v>
      </c>
      <c r="G277" s="11" t="n">
        <v>64</v>
      </c>
      <c r="H277" s="4" t="n">
        <v>381</v>
      </c>
      <c r="I277" s="8" t="n">
        <v>1</v>
      </c>
      <c r="J277" s="11" t="n">
        <v>61.2</v>
      </c>
      <c r="K277" s="4" t="n">
        <v>1648</v>
      </c>
      <c r="L277" s="8" t="n">
        <v>1</v>
      </c>
      <c r="M277" s="11" t="n">
        <v>57.7</v>
      </c>
      <c r="N277" s="4" t="n">
        <v>1277</v>
      </c>
      <c r="O277" s="8" t="n">
        <v>1</v>
      </c>
      <c r="P277" s="4" t="n">
        <f aca="false">H277+K277+N277</f>
        <v>3306</v>
      </c>
      <c r="Q277" s="4" t="n">
        <f aca="false">Q276+P277</f>
        <v>691100</v>
      </c>
      <c r="R277" s="4" t="n">
        <f aca="false">Q277-MAX(0,MAX($Q$2:Q277))</f>
        <v>0</v>
      </c>
    </row>
    <row r="278" customFormat="false" ht="15" hidden="false" customHeight="false" outlineLevel="0" collapsed="false">
      <c r="A278" s="7" t="n">
        <v>45183</v>
      </c>
      <c r="B278" s="8" t="n">
        <f aca="false">YEAR(A278)</f>
        <v>2023</v>
      </c>
      <c r="C278" s="8" t="n">
        <f aca="false">MONTH(A278)</f>
        <v>9</v>
      </c>
      <c r="D278" s="8" t="s">
        <v>36</v>
      </c>
      <c r="E278" s="9" t="n">
        <v>20128</v>
      </c>
      <c r="F278" s="10" t="n">
        <v>11.83</v>
      </c>
      <c r="G278" s="11" t="n">
        <v>100.4</v>
      </c>
      <c r="H278" s="4" t="n">
        <v>2503</v>
      </c>
      <c r="I278" s="8" t="n">
        <v>1</v>
      </c>
      <c r="J278" s="11" t="n">
        <v>98.1</v>
      </c>
      <c r="K278" s="4" t="n">
        <v>1122</v>
      </c>
      <c r="L278" s="8" t="n">
        <v>1</v>
      </c>
      <c r="M278" s="11" t="n">
        <v>92.2</v>
      </c>
      <c r="N278" s="4" t="n">
        <v>908</v>
      </c>
      <c r="O278" s="8" t="n">
        <v>1</v>
      </c>
      <c r="P278" s="4" t="n">
        <f aca="false">H278+K278+N278</f>
        <v>4533</v>
      </c>
      <c r="Q278" s="4" t="n">
        <f aca="false">Q277+P278</f>
        <v>695633</v>
      </c>
      <c r="R278" s="4" t="n">
        <f aca="false">Q278-MAX(0,MAX($Q$2:Q278))</f>
        <v>0</v>
      </c>
    </row>
    <row r="279" customFormat="false" ht="15" hidden="false" customHeight="false" outlineLevel="0" collapsed="false">
      <c r="A279" s="7" t="n">
        <v>45190</v>
      </c>
      <c r="B279" s="8" t="n">
        <f aca="false">YEAR(A279)</f>
        <v>2023</v>
      </c>
      <c r="C279" s="8" t="n">
        <f aca="false">MONTH(A279)</f>
        <v>9</v>
      </c>
      <c r="D279" s="8" t="s">
        <v>36</v>
      </c>
      <c r="E279" s="9" t="n">
        <v>19840.6</v>
      </c>
      <c r="F279" s="10" t="n">
        <v>11.13</v>
      </c>
      <c r="G279" s="11" t="n">
        <v>99.9</v>
      </c>
      <c r="H279" s="4" t="n">
        <v>2496</v>
      </c>
      <c r="I279" s="8" t="n">
        <v>1</v>
      </c>
      <c r="J279" s="11" t="n">
        <v>97.8</v>
      </c>
      <c r="K279" s="4" t="n">
        <v>2345</v>
      </c>
      <c r="L279" s="8" t="n">
        <v>1</v>
      </c>
      <c r="M279" s="11" t="n">
        <v>92.1</v>
      </c>
      <c r="N279" s="4" t="n">
        <v>555</v>
      </c>
      <c r="O279" s="8" t="n">
        <v>1</v>
      </c>
      <c r="P279" s="4" t="n">
        <f aca="false">H279+K279+N279</f>
        <v>5396</v>
      </c>
      <c r="Q279" s="4" t="n">
        <f aca="false">Q278+P279</f>
        <v>701029</v>
      </c>
      <c r="R279" s="4" t="n">
        <f aca="false">Q279-MAX(0,MAX($Q$2:Q279))</f>
        <v>0</v>
      </c>
    </row>
    <row r="280" customFormat="false" ht="15" hidden="false" customHeight="false" outlineLevel="0" collapsed="false">
      <c r="A280" s="7" t="n">
        <v>45197</v>
      </c>
      <c r="B280" s="8" t="n">
        <f aca="false">YEAR(A280)</f>
        <v>2023</v>
      </c>
      <c r="C280" s="8" t="n">
        <f aca="false">MONTH(A280)</f>
        <v>9</v>
      </c>
      <c r="D280" s="8" t="s">
        <v>36</v>
      </c>
      <c r="E280" s="9" t="n">
        <v>19761.8</v>
      </c>
      <c r="F280" s="10" t="n">
        <v>11.59</v>
      </c>
      <c r="G280" s="11" t="n">
        <v>84.6</v>
      </c>
      <c r="H280" s="4" t="n">
        <v>-1957</v>
      </c>
      <c r="I280" s="8" t="n">
        <v>2</v>
      </c>
      <c r="J280" s="11" t="n">
        <v>81.9</v>
      </c>
      <c r="K280" s="4" t="n">
        <v>-1901</v>
      </c>
      <c r="L280" s="8" t="n">
        <v>2</v>
      </c>
      <c r="M280" s="11" t="n">
        <v>78.8</v>
      </c>
      <c r="N280" s="4" t="n">
        <v>2125</v>
      </c>
      <c r="O280" s="8" t="n">
        <v>1</v>
      </c>
      <c r="P280" s="4" t="n">
        <f aca="false">H280+K280+N280</f>
        <v>-1733</v>
      </c>
      <c r="Q280" s="4" t="n">
        <f aca="false">Q279+P280</f>
        <v>699296</v>
      </c>
      <c r="R280" s="4" t="n">
        <f aca="false">Q280-MAX(0,MAX($Q$2:Q280))</f>
        <v>-1733</v>
      </c>
    </row>
    <row r="281" customFormat="false" ht="15" hidden="false" customHeight="false" outlineLevel="0" collapsed="false">
      <c r="A281" s="7" t="n">
        <v>45204</v>
      </c>
      <c r="B281" s="8" t="n">
        <f aca="false">YEAR(A281)</f>
        <v>2023</v>
      </c>
      <c r="C281" s="8" t="n">
        <f aca="false">MONTH(A281)</f>
        <v>10</v>
      </c>
      <c r="D281" s="8" t="s">
        <v>36</v>
      </c>
      <c r="E281" s="9" t="n">
        <v>19521.8</v>
      </c>
      <c r="F281" s="10" t="n">
        <v>11.66</v>
      </c>
      <c r="G281" s="11" t="n">
        <v>88.9</v>
      </c>
      <c r="H281" s="4" t="n">
        <v>1357</v>
      </c>
      <c r="I281" s="8" t="n">
        <v>1</v>
      </c>
      <c r="J281" s="11" t="n">
        <v>87.4</v>
      </c>
      <c r="K281" s="4" t="n">
        <v>-2014</v>
      </c>
      <c r="L281" s="8" t="n">
        <v>2</v>
      </c>
      <c r="M281" s="11" t="n">
        <v>82</v>
      </c>
      <c r="N281" s="4" t="n">
        <v>1524</v>
      </c>
      <c r="O281" s="8" t="n">
        <v>1</v>
      </c>
      <c r="P281" s="4" t="n">
        <f aca="false">H281+K281+N281</f>
        <v>867</v>
      </c>
      <c r="Q281" s="4" t="n">
        <f aca="false">Q280+P281</f>
        <v>700163</v>
      </c>
      <c r="R281" s="4" t="n">
        <f aca="false">Q281-MAX(0,MAX($Q$2:Q281))</f>
        <v>-866</v>
      </c>
    </row>
    <row r="282" customFormat="false" ht="15" hidden="false" customHeight="false" outlineLevel="0" collapsed="false">
      <c r="A282" s="7" t="n">
        <v>45211</v>
      </c>
      <c r="B282" s="8" t="n">
        <f aca="false">YEAR(A282)</f>
        <v>2023</v>
      </c>
      <c r="C282" s="8" t="n">
        <f aca="false">MONTH(A282)</f>
        <v>10</v>
      </c>
      <c r="D282" s="8" t="s">
        <v>36</v>
      </c>
      <c r="E282" s="9" t="n">
        <v>19822.7</v>
      </c>
      <c r="F282" s="10" t="n">
        <v>10.99</v>
      </c>
      <c r="G282" s="11" t="n">
        <v>89.7</v>
      </c>
      <c r="H282" s="4" t="n">
        <v>1942</v>
      </c>
      <c r="I282" s="8" t="n">
        <v>1</v>
      </c>
      <c r="J282" s="11" t="n">
        <v>86.2</v>
      </c>
      <c r="K282" s="4" t="n">
        <v>1462</v>
      </c>
      <c r="L282" s="8" t="n">
        <v>1</v>
      </c>
      <c r="M282" s="11" t="n">
        <v>82.3</v>
      </c>
      <c r="N282" s="4" t="n">
        <v>1488</v>
      </c>
      <c r="O282" s="8" t="n">
        <v>1</v>
      </c>
      <c r="P282" s="4" t="n">
        <f aca="false">H282+K282+N282</f>
        <v>4892</v>
      </c>
      <c r="Q282" s="4" t="n">
        <f aca="false">Q281+P282</f>
        <v>705055</v>
      </c>
      <c r="R282" s="4" t="n">
        <f aca="false">Q282-MAX(0,MAX($Q$2:Q282))</f>
        <v>0</v>
      </c>
    </row>
    <row r="283" customFormat="false" ht="15" hidden="false" customHeight="false" outlineLevel="0" collapsed="false">
      <c r="A283" s="7" t="n">
        <v>45218</v>
      </c>
      <c r="B283" s="8" t="n">
        <f aca="false">YEAR(A283)</f>
        <v>2023</v>
      </c>
      <c r="C283" s="8" t="n">
        <f aca="false">MONTH(A283)</f>
        <v>10</v>
      </c>
      <c r="D283" s="8" t="s">
        <v>36</v>
      </c>
      <c r="E283" s="9" t="n">
        <v>19545.2</v>
      </c>
      <c r="F283" s="10" t="n">
        <v>10.97</v>
      </c>
      <c r="G283" s="11" t="n">
        <v>77.6</v>
      </c>
      <c r="H283" s="4" t="n">
        <v>1660</v>
      </c>
      <c r="I283" s="8" t="n">
        <v>1</v>
      </c>
      <c r="J283" s="11" t="n">
        <v>75.9</v>
      </c>
      <c r="K283" s="4" t="n">
        <v>-1779</v>
      </c>
      <c r="L283" s="8" t="n">
        <v>2</v>
      </c>
      <c r="M283" s="11" t="n">
        <v>74.6</v>
      </c>
      <c r="N283" s="4" t="n">
        <v>348</v>
      </c>
      <c r="O283" s="8" t="n">
        <v>1</v>
      </c>
      <c r="P283" s="4" t="n">
        <f aca="false">H283+K283+N283</f>
        <v>229</v>
      </c>
      <c r="Q283" s="4" t="n">
        <f aca="false">Q282+P283</f>
        <v>705284</v>
      </c>
      <c r="R283" s="4" t="n">
        <f aca="false">Q283-MAX(0,MAX($Q$2:Q283))</f>
        <v>0</v>
      </c>
    </row>
    <row r="284" customFormat="false" ht="15" hidden="false" customHeight="false" outlineLevel="0" collapsed="false">
      <c r="A284" s="7" t="n">
        <v>45225</v>
      </c>
      <c r="B284" s="8" t="n">
        <f aca="false">YEAR(A284)</f>
        <v>2023</v>
      </c>
      <c r="C284" s="8" t="n">
        <f aca="false">MONTH(A284)</f>
        <v>10</v>
      </c>
      <c r="D284" s="8" t="s">
        <v>36</v>
      </c>
      <c r="E284" s="9" t="n">
        <v>19027.2</v>
      </c>
      <c r="F284" s="10" t="n">
        <v>11.31</v>
      </c>
      <c r="G284" s="11" t="n">
        <v>87.9</v>
      </c>
      <c r="H284" s="4" t="n">
        <v>1190</v>
      </c>
      <c r="I284" s="8" t="n">
        <v>1</v>
      </c>
      <c r="J284" s="11" t="n">
        <v>84.8</v>
      </c>
      <c r="K284" s="4" t="n">
        <v>1620</v>
      </c>
      <c r="L284" s="8" t="n">
        <v>1</v>
      </c>
      <c r="M284" s="11" t="n">
        <v>80.6</v>
      </c>
      <c r="N284" s="4" t="n">
        <v>1636</v>
      </c>
      <c r="O284" s="8" t="n">
        <v>1</v>
      </c>
      <c r="P284" s="4" t="n">
        <f aca="false">H284+K284+N284</f>
        <v>4446</v>
      </c>
      <c r="Q284" s="4" t="n">
        <f aca="false">Q283+P284</f>
        <v>709730</v>
      </c>
      <c r="R284" s="4" t="n">
        <f aca="false">Q284-MAX(0,MAX($Q$2:Q284))</f>
        <v>0</v>
      </c>
    </row>
    <row r="285" customFormat="false" ht="15" hidden="false" customHeight="false" outlineLevel="0" collapsed="false">
      <c r="A285" s="7" t="n">
        <v>45232</v>
      </c>
      <c r="B285" s="8" t="n">
        <f aca="false">YEAR(A285)</f>
        <v>2023</v>
      </c>
      <c r="C285" s="8" t="n">
        <f aca="false">MONTH(A285)</f>
        <v>11</v>
      </c>
      <c r="D285" s="8" t="s">
        <v>36</v>
      </c>
      <c r="E285" s="9" t="n">
        <v>19120</v>
      </c>
      <c r="F285" s="10" t="n">
        <v>12.05</v>
      </c>
      <c r="G285" s="11" t="n">
        <v>91.2</v>
      </c>
      <c r="H285" s="4" t="n">
        <v>2476</v>
      </c>
      <c r="I285" s="8" t="n">
        <v>1</v>
      </c>
      <c r="J285" s="11" t="n">
        <v>87.6</v>
      </c>
      <c r="K285" s="4" t="n">
        <v>1343</v>
      </c>
      <c r="L285" s="8" t="n">
        <v>1</v>
      </c>
      <c r="M285" s="11" t="n">
        <v>84.8</v>
      </c>
      <c r="N285" s="4" t="n">
        <v>708</v>
      </c>
      <c r="O285" s="8" t="n">
        <v>1</v>
      </c>
      <c r="P285" s="4" t="n">
        <f aca="false">H285+K285+N285</f>
        <v>4527</v>
      </c>
      <c r="Q285" s="4" t="n">
        <f aca="false">Q284+P285</f>
        <v>714257</v>
      </c>
      <c r="R285" s="4" t="n">
        <f aca="false">Q285-MAX(0,MAX($Q$2:Q285))</f>
        <v>0</v>
      </c>
    </row>
    <row r="286" customFormat="false" ht="15" hidden="false" customHeight="false" outlineLevel="0" collapsed="false">
      <c r="A286" s="7" t="n">
        <v>45239</v>
      </c>
      <c r="B286" s="8" t="n">
        <f aca="false">YEAR(A286)</f>
        <v>2023</v>
      </c>
      <c r="C286" s="8" t="n">
        <f aca="false">MONTH(A286)</f>
        <v>11</v>
      </c>
      <c r="D286" s="8" t="s">
        <v>36</v>
      </c>
      <c r="E286" s="9" t="n">
        <v>19457.4</v>
      </c>
      <c r="F286" s="10" t="n">
        <v>11.04</v>
      </c>
      <c r="G286" s="11" t="n">
        <v>79.2</v>
      </c>
      <c r="H286" s="4" t="n">
        <v>-1845</v>
      </c>
      <c r="I286" s="8" t="n">
        <v>2</v>
      </c>
      <c r="J286" s="11" t="n">
        <v>75.7</v>
      </c>
      <c r="K286" s="4" t="n">
        <v>1611</v>
      </c>
      <c r="L286" s="8" t="n">
        <v>1</v>
      </c>
      <c r="M286" s="11" t="n">
        <v>73.8</v>
      </c>
      <c r="N286" s="4" t="n">
        <v>-257</v>
      </c>
      <c r="O286" s="8" t="n">
        <v>1</v>
      </c>
      <c r="P286" s="4" t="n">
        <f aca="false">H286+K286+N286</f>
        <v>-491</v>
      </c>
      <c r="Q286" s="4" t="n">
        <f aca="false">Q285+P286</f>
        <v>713766</v>
      </c>
      <c r="R286" s="4" t="n">
        <f aca="false">Q286-MAX(0,MAX($Q$2:Q286))</f>
        <v>-491</v>
      </c>
    </row>
    <row r="287" customFormat="false" ht="15" hidden="false" customHeight="false" outlineLevel="0" collapsed="false">
      <c r="A287" s="7" t="n">
        <v>45246</v>
      </c>
      <c r="B287" s="8" t="n">
        <f aca="false">YEAR(A287)</f>
        <v>2023</v>
      </c>
      <c r="C287" s="8" t="n">
        <f aca="false">MONTH(A287)</f>
        <v>11</v>
      </c>
      <c r="D287" s="8" t="s">
        <v>36</v>
      </c>
      <c r="E287" s="9" t="n">
        <v>19674.7</v>
      </c>
      <c r="F287" s="10" t="n">
        <v>11.14</v>
      </c>
      <c r="G287" s="11" t="n">
        <v>75.6</v>
      </c>
      <c r="H287" s="4" t="n">
        <v>1314</v>
      </c>
      <c r="I287" s="8" t="n">
        <v>1</v>
      </c>
      <c r="J287" s="11" t="n">
        <v>73.4</v>
      </c>
      <c r="K287" s="4" t="n">
        <v>1320</v>
      </c>
      <c r="L287" s="8" t="n">
        <v>1</v>
      </c>
      <c r="M287" s="11" t="n">
        <v>71</v>
      </c>
      <c r="N287" s="4" t="n">
        <v>655</v>
      </c>
      <c r="O287" s="8" t="n">
        <v>1</v>
      </c>
      <c r="P287" s="4" t="n">
        <f aca="false">H287+K287+N287</f>
        <v>3289</v>
      </c>
      <c r="Q287" s="4" t="n">
        <f aca="false">Q286+P287</f>
        <v>717055</v>
      </c>
      <c r="R287" s="4" t="n">
        <f aca="false">Q287-MAX(0,MAX($Q$2:Q287))</f>
        <v>0</v>
      </c>
    </row>
    <row r="288" customFormat="false" ht="15" hidden="false" customHeight="false" outlineLevel="0" collapsed="false">
      <c r="A288" s="7" t="n">
        <v>45253</v>
      </c>
      <c r="B288" s="8" t="n">
        <f aca="false">YEAR(A288)</f>
        <v>2023</v>
      </c>
      <c r="C288" s="8" t="n">
        <f aca="false">MONTH(A288)</f>
        <v>11</v>
      </c>
      <c r="D288" s="8" t="s">
        <v>36</v>
      </c>
      <c r="E288" s="9" t="n">
        <v>19828.4</v>
      </c>
      <c r="F288" s="10" t="n">
        <v>11.87</v>
      </c>
      <c r="G288" s="11" t="n">
        <v>73.2</v>
      </c>
      <c r="H288" s="4" t="n">
        <v>2336</v>
      </c>
      <c r="I288" s="8" t="n">
        <v>1</v>
      </c>
      <c r="J288" s="11" t="n">
        <v>69</v>
      </c>
      <c r="K288" s="4" t="n">
        <v>1193</v>
      </c>
      <c r="L288" s="8" t="n">
        <v>1</v>
      </c>
      <c r="M288" s="11" t="n">
        <v>66</v>
      </c>
      <c r="N288" s="4" t="n">
        <v>3099</v>
      </c>
      <c r="O288" s="8" t="n">
        <v>0</v>
      </c>
      <c r="P288" s="4" t="n">
        <f aca="false">H288+K288+N288</f>
        <v>6628</v>
      </c>
      <c r="Q288" s="4" t="n">
        <f aca="false">Q287+P288</f>
        <v>723683</v>
      </c>
      <c r="R288" s="4" t="n">
        <f aca="false">Q288-MAX(0,MAX($Q$2:Q288))</f>
        <v>0</v>
      </c>
    </row>
    <row r="289" customFormat="false" ht="15" hidden="false" customHeight="false" outlineLevel="0" collapsed="false">
      <c r="A289" s="7" t="n">
        <v>45260</v>
      </c>
      <c r="B289" s="8" t="n">
        <f aca="false">YEAR(A289)</f>
        <v>2023</v>
      </c>
      <c r="C289" s="8" t="n">
        <f aca="false">MONTH(A289)</f>
        <v>11</v>
      </c>
      <c r="D289" s="8" t="s">
        <v>36</v>
      </c>
      <c r="E289" s="9" t="n">
        <v>20108.5</v>
      </c>
      <c r="F289" s="10" t="n">
        <v>12.71</v>
      </c>
      <c r="G289" s="11" t="n">
        <v>91.4</v>
      </c>
      <c r="H289" s="4" t="n">
        <v>719</v>
      </c>
      <c r="I289" s="8" t="n">
        <v>1</v>
      </c>
      <c r="J289" s="11" t="n">
        <v>86.5</v>
      </c>
      <c r="K289" s="4" t="n">
        <v>2252</v>
      </c>
      <c r="L289" s="8" t="n">
        <v>1</v>
      </c>
      <c r="M289" s="11" t="n">
        <v>82.2</v>
      </c>
      <c r="N289" s="4" t="n">
        <v>1213</v>
      </c>
      <c r="O289" s="8" t="n">
        <v>1</v>
      </c>
      <c r="P289" s="4" t="n">
        <f aca="false">H289+K289+N289</f>
        <v>4184</v>
      </c>
      <c r="Q289" s="4" t="n">
        <f aca="false">Q288+P289</f>
        <v>727867</v>
      </c>
      <c r="R289" s="4" t="n">
        <f aca="false">Q289-MAX(0,MAX($Q$2:Q289))</f>
        <v>0</v>
      </c>
    </row>
    <row r="290" customFormat="false" ht="15" hidden="false" customHeight="false" outlineLevel="0" collapsed="false">
      <c r="A290" s="7" t="n">
        <v>45267</v>
      </c>
      <c r="B290" s="8" t="n">
        <f aca="false">YEAR(A290)</f>
        <v>2023</v>
      </c>
      <c r="C290" s="8" t="n">
        <f aca="false">MONTH(A290)</f>
        <v>12</v>
      </c>
      <c r="D290" s="8" t="s">
        <v>36</v>
      </c>
      <c r="E290" s="9" t="n">
        <v>20932.4</v>
      </c>
      <c r="F290" s="10" t="n">
        <v>13.74</v>
      </c>
      <c r="G290" s="11" t="n">
        <v>110.1</v>
      </c>
      <c r="H290" s="4" t="n">
        <v>2229</v>
      </c>
      <c r="I290" s="8" t="n">
        <v>1</v>
      </c>
      <c r="J290" s="11" t="n">
        <v>107.5</v>
      </c>
      <c r="K290" s="4" t="n">
        <v>1221</v>
      </c>
      <c r="L290" s="8" t="n">
        <v>1</v>
      </c>
      <c r="M290" s="11" t="n">
        <v>101.6</v>
      </c>
      <c r="N290" s="4" t="n">
        <v>1850</v>
      </c>
      <c r="O290" s="8" t="n">
        <v>1</v>
      </c>
      <c r="P290" s="4" t="n">
        <f aca="false">H290+K290+N290</f>
        <v>5300</v>
      </c>
      <c r="Q290" s="4" t="n">
        <f aca="false">Q289+P290</f>
        <v>733167</v>
      </c>
      <c r="R290" s="4" t="n">
        <f aca="false">Q290-MAX(0,MAX($Q$2:Q290))</f>
        <v>0</v>
      </c>
    </row>
    <row r="291" customFormat="false" ht="15" hidden="false" customHeight="false" outlineLevel="0" collapsed="false">
      <c r="A291" s="7" t="n">
        <v>45274</v>
      </c>
      <c r="B291" s="8" t="n">
        <f aca="false">YEAR(A291)</f>
        <v>2023</v>
      </c>
      <c r="C291" s="8" t="n">
        <f aca="false">MONTH(A291)</f>
        <v>12</v>
      </c>
      <c r="D291" s="8" t="s">
        <v>36</v>
      </c>
      <c r="E291" s="9" t="n">
        <v>21110.4</v>
      </c>
      <c r="F291" s="10" t="n">
        <v>12.07</v>
      </c>
      <c r="G291" s="11" t="n">
        <v>91.7</v>
      </c>
      <c r="H291" s="4" t="n">
        <v>2057</v>
      </c>
      <c r="I291" s="8" t="n">
        <v>1</v>
      </c>
      <c r="J291" s="11" t="n">
        <v>91.9</v>
      </c>
      <c r="K291" s="4" t="n">
        <v>1436</v>
      </c>
      <c r="L291" s="8" t="n">
        <v>1</v>
      </c>
      <c r="M291" s="11" t="n">
        <v>84.5</v>
      </c>
      <c r="N291" s="4" t="n">
        <v>1524</v>
      </c>
      <c r="O291" s="8" t="n">
        <v>1</v>
      </c>
      <c r="P291" s="4" t="n">
        <f aca="false">H291+K291+N291</f>
        <v>5017</v>
      </c>
      <c r="Q291" s="4" t="n">
        <f aca="false">Q290+P291</f>
        <v>738184</v>
      </c>
      <c r="R291" s="4" t="n">
        <f aca="false">Q291-MAX(0,MAX($Q$2:Q291))</f>
        <v>0</v>
      </c>
    </row>
    <row r="292" customFormat="false" ht="15" hidden="false" customHeight="false" outlineLevel="0" collapsed="false">
      <c r="A292" s="7" t="n">
        <v>45281</v>
      </c>
      <c r="B292" s="8" t="n">
        <f aca="false">YEAR(A292)</f>
        <v>2023</v>
      </c>
      <c r="C292" s="8" t="n">
        <f aca="false">MONTH(A292)</f>
        <v>12</v>
      </c>
      <c r="D292" s="8" t="s">
        <v>36</v>
      </c>
      <c r="E292" s="9" t="n">
        <v>21034</v>
      </c>
      <c r="F292" s="10" t="n">
        <v>14.45</v>
      </c>
      <c r="G292" s="11" t="n">
        <v>105.6</v>
      </c>
      <c r="H292" s="4" t="n">
        <v>-2386</v>
      </c>
      <c r="I292" s="8" t="n">
        <v>2</v>
      </c>
      <c r="J292" s="11" t="n">
        <v>102.6</v>
      </c>
      <c r="K292" s="4" t="n">
        <v>2867</v>
      </c>
      <c r="L292" s="8" t="n">
        <v>1</v>
      </c>
      <c r="M292" s="11" t="n">
        <v>97.6</v>
      </c>
      <c r="N292" s="4" t="n">
        <v>2653</v>
      </c>
      <c r="O292" s="8" t="n">
        <v>1</v>
      </c>
      <c r="P292" s="4" t="n">
        <f aca="false">H292+K292+N292</f>
        <v>3134</v>
      </c>
      <c r="Q292" s="4" t="n">
        <f aca="false">Q291+P292</f>
        <v>741318</v>
      </c>
      <c r="R292" s="4" t="n">
        <f aca="false">Q292-MAX(0,MAX($Q$2:Q292))</f>
        <v>0</v>
      </c>
    </row>
    <row r="293" customFormat="false" ht="15" hidden="false" customHeight="false" outlineLevel="0" collapsed="false">
      <c r="A293" s="7" t="n">
        <v>45288</v>
      </c>
      <c r="B293" s="8" t="n">
        <f aca="false">YEAR(A293)</f>
        <v>2023</v>
      </c>
      <c r="C293" s="8" t="n">
        <f aca="false">MONTH(A293)</f>
        <v>12</v>
      </c>
      <c r="D293" s="8" t="s">
        <v>36</v>
      </c>
      <c r="E293" s="9" t="n">
        <v>21715</v>
      </c>
      <c r="F293" s="10" t="n">
        <v>15.56</v>
      </c>
      <c r="G293" s="11" t="n">
        <v>102.9</v>
      </c>
      <c r="H293" s="4" t="n">
        <v>-182</v>
      </c>
      <c r="I293" s="8" t="n">
        <v>1</v>
      </c>
      <c r="J293" s="11" t="n">
        <v>99.7</v>
      </c>
      <c r="K293" s="4" t="n">
        <v>1752</v>
      </c>
      <c r="L293" s="8" t="n">
        <v>1</v>
      </c>
      <c r="M293" s="11" t="n">
        <v>95.6</v>
      </c>
      <c r="N293" s="4" t="n">
        <v>1311</v>
      </c>
      <c r="O293" s="8" t="n">
        <v>1</v>
      </c>
      <c r="P293" s="4" t="n">
        <f aca="false">H293+K293+N293</f>
        <v>2881</v>
      </c>
      <c r="Q293" s="4" t="n">
        <f aca="false">Q292+P293</f>
        <v>744199</v>
      </c>
      <c r="R293" s="4" t="n">
        <f aca="false">Q293-MAX(0,MAX($Q$2:Q293))</f>
        <v>0</v>
      </c>
    </row>
    <row r="294" customFormat="false" ht="15" hidden="false" customHeight="false" outlineLevel="0" collapsed="false">
      <c r="A294" s="7" t="n">
        <v>45295</v>
      </c>
      <c r="B294" s="8" t="n">
        <f aca="false">YEAR(A294)</f>
        <v>2024</v>
      </c>
      <c r="C294" s="8" t="n">
        <f aca="false">MONTH(A294)</f>
        <v>1</v>
      </c>
      <c r="D294" s="8" t="s">
        <v>36</v>
      </c>
      <c r="E294" s="9" t="n">
        <v>21605.8</v>
      </c>
      <c r="F294" s="10" t="n">
        <v>14.1</v>
      </c>
      <c r="G294" s="11" t="n">
        <v>100.3</v>
      </c>
      <c r="H294" s="4" t="n">
        <v>1302</v>
      </c>
      <c r="I294" s="8" t="n">
        <v>1</v>
      </c>
      <c r="J294" s="11" t="n">
        <v>98.4</v>
      </c>
      <c r="K294" s="4" t="n">
        <v>915</v>
      </c>
      <c r="L294" s="8" t="n">
        <v>1</v>
      </c>
      <c r="M294" s="11" t="n">
        <v>92.3</v>
      </c>
      <c r="N294" s="4" t="n">
        <v>4411</v>
      </c>
      <c r="O294" s="8" t="n">
        <v>0</v>
      </c>
      <c r="P294" s="4" t="n">
        <f aca="false">H294+K294+N294</f>
        <v>6628</v>
      </c>
      <c r="Q294" s="4" t="n">
        <f aca="false">Q293+P294</f>
        <v>750827</v>
      </c>
      <c r="R294" s="4" t="n">
        <f aca="false">Q294-MAX(0,MAX($Q$2:Q294))</f>
        <v>0</v>
      </c>
    </row>
    <row r="295" customFormat="false" ht="15" hidden="false" customHeight="false" outlineLevel="0" collapsed="false">
      <c r="A295" s="7" t="n">
        <v>45302</v>
      </c>
      <c r="B295" s="8" t="n">
        <f aca="false">YEAR(A295)</f>
        <v>2024</v>
      </c>
      <c r="C295" s="8" t="n">
        <f aca="false">MONTH(A295)</f>
        <v>1</v>
      </c>
      <c r="D295" s="8" t="s">
        <v>36</v>
      </c>
      <c r="E295" s="9" t="n">
        <v>21688</v>
      </c>
      <c r="F295" s="10" t="n">
        <v>12.97</v>
      </c>
      <c r="G295" s="11" t="n">
        <v>91.5</v>
      </c>
      <c r="H295" s="4" t="n">
        <v>1300</v>
      </c>
      <c r="I295" s="8" t="n">
        <v>1</v>
      </c>
      <c r="J295" s="11" t="n">
        <v>89.5</v>
      </c>
      <c r="K295" s="4" t="n">
        <v>2074</v>
      </c>
      <c r="L295" s="8" t="n">
        <v>1</v>
      </c>
      <c r="M295" s="11" t="n">
        <v>85.7</v>
      </c>
      <c r="N295" s="4" t="n">
        <v>2083</v>
      </c>
      <c r="O295" s="8" t="n">
        <v>1</v>
      </c>
      <c r="P295" s="4" t="n">
        <f aca="false">H295+K295+N295</f>
        <v>5457</v>
      </c>
      <c r="Q295" s="4" t="n">
        <f aca="false">Q294+P295</f>
        <v>756284</v>
      </c>
      <c r="R295" s="4" t="n">
        <f aca="false">Q295-MAX(0,MAX($Q$2:Q295))</f>
        <v>0</v>
      </c>
    </row>
    <row r="296" customFormat="false" ht="15" hidden="false" customHeight="false" outlineLevel="0" collapsed="false">
      <c r="A296" s="7" t="n">
        <v>45309</v>
      </c>
      <c r="B296" s="8" t="n">
        <f aca="false">YEAR(A296)</f>
        <v>2024</v>
      </c>
      <c r="C296" s="8" t="n">
        <f aca="false">MONTH(A296)</f>
        <v>1</v>
      </c>
      <c r="D296" s="8" t="s">
        <v>36</v>
      </c>
      <c r="E296" s="9" t="n">
        <v>21414.2</v>
      </c>
      <c r="F296" s="10" t="n">
        <v>15.08</v>
      </c>
      <c r="G296" s="11" t="n">
        <v>150.2</v>
      </c>
      <c r="H296" s="4" t="n">
        <v>-3300</v>
      </c>
      <c r="I296" s="8" t="n">
        <v>2</v>
      </c>
      <c r="J296" s="11" t="n">
        <v>146.9</v>
      </c>
      <c r="K296" s="4" t="n">
        <v>1777</v>
      </c>
      <c r="L296" s="8" t="n">
        <v>1</v>
      </c>
      <c r="M296" s="11" t="n">
        <v>138.7</v>
      </c>
      <c r="N296" s="4" t="n">
        <v>2784</v>
      </c>
      <c r="O296" s="8" t="n">
        <v>1</v>
      </c>
      <c r="P296" s="4" t="n">
        <f aca="false">H296+K296+N296</f>
        <v>1261</v>
      </c>
      <c r="Q296" s="4" t="n">
        <f aca="false">Q295+P296</f>
        <v>757545</v>
      </c>
      <c r="R296" s="4" t="n">
        <f aca="false">Q296-MAX(0,MAX($Q$2:Q296))</f>
        <v>0</v>
      </c>
    </row>
    <row r="297" customFormat="false" ht="15" hidden="false" customHeight="false" outlineLevel="0" collapsed="false">
      <c r="A297" s="7" t="n">
        <v>45316</v>
      </c>
      <c r="B297" s="8" t="n">
        <f aca="false">YEAR(A297)</f>
        <v>2024</v>
      </c>
      <c r="C297" s="8" t="n">
        <f aca="false">MONTH(A297)</f>
        <v>1</v>
      </c>
      <c r="D297" s="8" t="s">
        <v>36</v>
      </c>
      <c r="E297" s="9" t="n">
        <v>21454.6</v>
      </c>
      <c r="F297" s="10" t="n">
        <v>14.38</v>
      </c>
      <c r="G297" s="11" t="n">
        <v>156.6</v>
      </c>
      <c r="H297" s="4" t="n">
        <v>2730</v>
      </c>
      <c r="I297" s="8" t="n">
        <v>1</v>
      </c>
      <c r="J297" s="11" t="n">
        <v>152.6</v>
      </c>
      <c r="K297" s="4" t="n">
        <v>2209</v>
      </c>
      <c r="L297" s="8" t="n">
        <v>1</v>
      </c>
      <c r="M297" s="11" t="n">
        <v>144.3</v>
      </c>
      <c r="N297" s="4" t="n">
        <v>-3178</v>
      </c>
      <c r="O297" s="8" t="n">
        <v>2</v>
      </c>
      <c r="P297" s="4" t="n">
        <f aca="false">H297+K297+N297</f>
        <v>1761</v>
      </c>
      <c r="Q297" s="4" t="n">
        <f aca="false">Q296+P297</f>
        <v>759306</v>
      </c>
      <c r="R297" s="4" t="n">
        <f aca="false">Q297-MAX(0,MAX($Q$2:Q297))</f>
        <v>0</v>
      </c>
    </row>
    <row r="298" customFormat="false" ht="15" hidden="false" customHeight="false" outlineLevel="0" collapsed="false">
      <c r="A298" s="7" t="n">
        <v>45323</v>
      </c>
      <c r="B298" s="8" t="n">
        <f aca="false">YEAR(A298)</f>
        <v>2024</v>
      </c>
      <c r="C298" s="8" t="n">
        <f aca="false">MONTH(A298)</f>
        <v>2</v>
      </c>
      <c r="D298" s="8" t="s">
        <v>36</v>
      </c>
      <c r="E298" s="9" t="n">
        <v>21780.6</v>
      </c>
      <c r="F298" s="10" t="n">
        <v>16.05</v>
      </c>
      <c r="G298" s="11" t="n">
        <v>254.6</v>
      </c>
      <c r="H298" s="4" t="n">
        <v>11173</v>
      </c>
      <c r="I298" s="8" t="n">
        <v>0</v>
      </c>
      <c r="J298" s="11" t="n">
        <v>247.1</v>
      </c>
      <c r="K298" s="4" t="n">
        <v>545</v>
      </c>
      <c r="L298" s="8" t="n">
        <v>1</v>
      </c>
      <c r="M298" s="11" t="n">
        <v>236.1</v>
      </c>
      <c r="N298" s="4" t="n">
        <v>4405</v>
      </c>
      <c r="O298" s="8" t="n">
        <v>1</v>
      </c>
      <c r="P298" s="4" t="n">
        <f aca="false">H298+K298+N298</f>
        <v>16123</v>
      </c>
      <c r="Q298" s="4" t="n">
        <f aca="false">Q297+P298</f>
        <v>775429</v>
      </c>
      <c r="R298" s="4" t="n">
        <f aca="false">Q298-MAX(0,MAX($Q$2:Q298))</f>
        <v>0</v>
      </c>
    </row>
    <row r="299" customFormat="false" ht="15" hidden="false" customHeight="false" outlineLevel="0" collapsed="false">
      <c r="A299" s="7" t="n">
        <v>45330</v>
      </c>
      <c r="B299" s="8" t="n">
        <f aca="false">YEAR(A299)</f>
        <v>2024</v>
      </c>
      <c r="C299" s="8" t="n">
        <f aca="false">MONTH(A299)</f>
        <v>2</v>
      </c>
      <c r="D299" s="8" t="s">
        <v>36</v>
      </c>
      <c r="E299" s="9" t="n">
        <v>22009.6</v>
      </c>
      <c r="F299" s="10" t="n">
        <v>15.51</v>
      </c>
      <c r="G299" s="11" t="n">
        <v>128.2</v>
      </c>
      <c r="H299" s="4" t="n">
        <v>1824</v>
      </c>
      <c r="I299" s="8" t="n">
        <v>1</v>
      </c>
      <c r="J299" s="11" t="n">
        <v>123.6</v>
      </c>
      <c r="K299" s="4" t="n">
        <v>2504</v>
      </c>
      <c r="L299" s="8" t="n">
        <v>1</v>
      </c>
      <c r="M299" s="11" t="n">
        <v>118.5</v>
      </c>
      <c r="N299" s="4" t="n">
        <v>3189</v>
      </c>
      <c r="O299" s="8" t="n">
        <v>1</v>
      </c>
      <c r="P299" s="4" t="n">
        <f aca="false">H299+K299+N299</f>
        <v>7517</v>
      </c>
      <c r="Q299" s="4" t="n">
        <f aca="false">Q298+P299</f>
        <v>782946</v>
      </c>
      <c r="R299" s="4" t="n">
        <f aca="false">Q299-MAX(0,MAX($Q$2:Q299))</f>
        <v>0</v>
      </c>
    </row>
    <row r="300" customFormat="false" ht="15" hidden="false" customHeight="false" outlineLevel="0" collapsed="false">
      <c r="A300" s="7" t="n">
        <v>45337</v>
      </c>
      <c r="B300" s="8" t="n">
        <f aca="false">YEAR(A300)</f>
        <v>2024</v>
      </c>
      <c r="C300" s="8" t="n">
        <f aca="false">MONTH(A300)</f>
        <v>2</v>
      </c>
      <c r="D300" s="8" t="s">
        <v>36</v>
      </c>
      <c r="E300" s="9" t="n">
        <v>21906.6</v>
      </c>
      <c r="F300" s="10" t="n">
        <v>15.44</v>
      </c>
      <c r="G300" s="11" t="n">
        <v>131.3</v>
      </c>
      <c r="H300" s="4" t="n">
        <v>1406</v>
      </c>
      <c r="I300" s="8" t="n">
        <v>1</v>
      </c>
      <c r="J300" s="11" t="n">
        <v>126.1</v>
      </c>
      <c r="K300" s="4" t="n">
        <v>3231</v>
      </c>
      <c r="L300" s="8" t="n">
        <v>1</v>
      </c>
      <c r="M300" s="11" t="n">
        <v>120.8</v>
      </c>
      <c r="N300" s="4" t="n">
        <v>-2696</v>
      </c>
      <c r="O300" s="8" t="n">
        <v>2</v>
      </c>
      <c r="P300" s="4" t="n">
        <f aca="false">H300+K300+N300</f>
        <v>1941</v>
      </c>
      <c r="Q300" s="4" t="n">
        <f aca="false">Q299+P300</f>
        <v>784887</v>
      </c>
      <c r="R300" s="4" t="n">
        <f aca="false">Q300-MAX(0,MAX($Q$2:Q300))</f>
        <v>0</v>
      </c>
    </row>
    <row r="301" customFormat="false" ht="15" hidden="false" customHeight="false" outlineLevel="0" collapsed="false">
      <c r="A301" s="7" t="n">
        <v>45344</v>
      </c>
      <c r="B301" s="8" t="n">
        <f aca="false">YEAR(A301)</f>
        <v>2024</v>
      </c>
      <c r="C301" s="8" t="n">
        <f aca="false">MONTH(A301)</f>
        <v>2</v>
      </c>
      <c r="D301" s="8" t="s">
        <v>36</v>
      </c>
      <c r="E301" s="9" t="n">
        <v>22081.6</v>
      </c>
      <c r="F301" s="10" t="n">
        <v>15.93</v>
      </c>
      <c r="G301" s="11" t="n">
        <v>169.2</v>
      </c>
      <c r="H301" s="4" t="n">
        <v>-3688</v>
      </c>
      <c r="I301" s="8" t="n">
        <v>2</v>
      </c>
      <c r="J301" s="11" t="n">
        <v>164</v>
      </c>
      <c r="K301" s="4" t="n">
        <v>4180</v>
      </c>
      <c r="L301" s="8" t="n">
        <v>1</v>
      </c>
      <c r="M301" s="11" t="n">
        <v>156.1</v>
      </c>
      <c r="N301" s="4" t="n">
        <v>2510</v>
      </c>
      <c r="O301" s="8" t="n">
        <v>1</v>
      </c>
      <c r="P301" s="4" t="n">
        <f aca="false">H301+K301+N301</f>
        <v>3002</v>
      </c>
      <c r="Q301" s="4" t="n">
        <f aca="false">Q300+P301</f>
        <v>787889</v>
      </c>
      <c r="R301" s="4" t="n">
        <f aca="false">Q301-MAX(0,MAX($Q$2:Q301))</f>
        <v>0</v>
      </c>
    </row>
    <row r="302" customFormat="false" ht="15" hidden="false" customHeight="false" outlineLevel="0" collapsed="false">
      <c r="A302" s="7" t="n">
        <v>45351</v>
      </c>
      <c r="B302" s="8" t="n">
        <f aca="false">YEAR(A302)</f>
        <v>2024</v>
      </c>
      <c r="C302" s="8" t="n">
        <f aca="false">MONTH(A302)</f>
        <v>2</v>
      </c>
      <c r="D302" s="8" t="s">
        <v>36</v>
      </c>
      <c r="E302" s="9" t="n">
        <v>21935.2</v>
      </c>
      <c r="F302" s="10" t="n">
        <v>16.33</v>
      </c>
      <c r="G302" s="11" t="n">
        <v>153.4</v>
      </c>
      <c r="H302" s="4" t="n">
        <v>-3364</v>
      </c>
      <c r="I302" s="8" t="n">
        <v>2</v>
      </c>
      <c r="J302" s="11" t="n">
        <v>149.2</v>
      </c>
      <c r="K302" s="4" t="n">
        <v>2313</v>
      </c>
      <c r="L302" s="8" t="n">
        <v>1</v>
      </c>
      <c r="M302" s="11" t="n">
        <v>141.8</v>
      </c>
      <c r="N302" s="4" t="n">
        <v>3424</v>
      </c>
      <c r="O302" s="8" t="n">
        <v>1</v>
      </c>
      <c r="P302" s="4" t="n">
        <f aca="false">H302+K302+N302</f>
        <v>2373</v>
      </c>
      <c r="Q302" s="4" t="n">
        <f aca="false">Q301+P302</f>
        <v>790262</v>
      </c>
      <c r="R302" s="4" t="n">
        <f aca="false">Q302-MAX(0,MAX($Q$2:Q302))</f>
        <v>0</v>
      </c>
    </row>
    <row r="303" customFormat="false" ht="15" hidden="false" customHeight="false" outlineLevel="0" collapsed="false">
      <c r="A303" s="7" t="n">
        <v>45358</v>
      </c>
      <c r="B303" s="8" t="n">
        <f aca="false">YEAR(A303)</f>
        <v>2024</v>
      </c>
      <c r="C303" s="8" t="n">
        <f aca="false">MONTH(A303)</f>
        <v>3</v>
      </c>
      <c r="D303" s="8" t="s">
        <v>36</v>
      </c>
      <c r="E303" s="9" t="n">
        <v>22505.3</v>
      </c>
      <c r="F303" s="10" t="n">
        <v>14.3</v>
      </c>
      <c r="G303" s="11" t="n">
        <v>115.8</v>
      </c>
      <c r="H303" s="4" t="n">
        <v>-2596</v>
      </c>
      <c r="I303" s="8" t="n">
        <v>2</v>
      </c>
      <c r="J303" s="11" t="n">
        <v>110.5</v>
      </c>
      <c r="K303" s="4" t="n">
        <v>1228</v>
      </c>
      <c r="L303" s="8" t="n">
        <v>1</v>
      </c>
      <c r="M303" s="11" t="n">
        <v>105.8</v>
      </c>
      <c r="N303" s="4" t="n">
        <v>-2391</v>
      </c>
      <c r="O303" s="8" t="n">
        <v>2</v>
      </c>
      <c r="P303" s="4" t="n">
        <f aca="false">H303+K303+N303</f>
        <v>-3759</v>
      </c>
      <c r="Q303" s="4" t="n">
        <f aca="false">Q302+P303</f>
        <v>786503</v>
      </c>
      <c r="R303" s="4" t="n">
        <f aca="false">Q303-MAX(0,MAX($Q$2:Q303))</f>
        <v>-3759</v>
      </c>
    </row>
    <row r="304" customFormat="false" ht="15" hidden="false" customHeight="false" outlineLevel="0" collapsed="false">
      <c r="A304" s="7" t="n">
        <v>45365</v>
      </c>
      <c r="B304" s="8" t="n">
        <f aca="false">YEAR(A304)</f>
        <v>2024</v>
      </c>
      <c r="C304" s="8" t="n">
        <f aca="false">MONTH(A304)</f>
        <v>3</v>
      </c>
      <c r="D304" s="8" t="s">
        <v>36</v>
      </c>
      <c r="E304" s="9" t="n">
        <v>21982.6</v>
      </c>
      <c r="F304" s="10" t="n">
        <v>14.43</v>
      </c>
      <c r="G304" s="11" t="n">
        <v>148.4</v>
      </c>
      <c r="H304" s="4" t="n">
        <v>3120</v>
      </c>
      <c r="I304" s="8" t="n">
        <v>1</v>
      </c>
      <c r="J304" s="11" t="n">
        <v>144.4</v>
      </c>
      <c r="K304" s="4" t="n">
        <v>-3181</v>
      </c>
      <c r="L304" s="8" t="n">
        <v>2</v>
      </c>
      <c r="M304" s="11" t="n">
        <v>137.9</v>
      </c>
      <c r="N304" s="4" t="n">
        <v>2376</v>
      </c>
      <c r="O304" s="8" t="n">
        <v>1</v>
      </c>
      <c r="P304" s="4" t="n">
        <f aca="false">H304+K304+N304</f>
        <v>2315</v>
      </c>
      <c r="Q304" s="4" t="n">
        <f aca="false">Q303+P304</f>
        <v>788818</v>
      </c>
      <c r="R304" s="4" t="n">
        <f aca="false">Q304-MAX(0,MAX($Q$2:Q304))</f>
        <v>-1444</v>
      </c>
    </row>
    <row r="305" customFormat="false" ht="15" hidden="false" customHeight="false" outlineLevel="0" collapsed="false">
      <c r="A305" s="7" t="n">
        <v>45372</v>
      </c>
      <c r="B305" s="8" t="n">
        <f aca="false">YEAR(A305)</f>
        <v>2024</v>
      </c>
      <c r="C305" s="8" t="n">
        <f aca="false">MONTH(A305)</f>
        <v>3</v>
      </c>
      <c r="D305" s="8" t="s">
        <v>36</v>
      </c>
      <c r="E305" s="9" t="n">
        <v>21989.9</v>
      </c>
      <c r="F305" s="10" t="n">
        <v>13.47</v>
      </c>
      <c r="G305" s="11" t="n">
        <v>129.4</v>
      </c>
      <c r="H305" s="4" t="n">
        <v>-2873</v>
      </c>
      <c r="I305" s="8" t="n">
        <v>2</v>
      </c>
      <c r="J305" s="11" t="n">
        <v>125.7</v>
      </c>
      <c r="K305" s="4" t="n">
        <v>-2797</v>
      </c>
      <c r="L305" s="8" t="n">
        <v>2</v>
      </c>
      <c r="M305" s="11" t="n">
        <v>119.7</v>
      </c>
      <c r="N305" s="4" t="n">
        <v>2573</v>
      </c>
      <c r="O305" s="8" t="n">
        <v>1</v>
      </c>
      <c r="P305" s="4" t="n">
        <f aca="false">H305+K305+N305</f>
        <v>-3097</v>
      </c>
      <c r="Q305" s="4" t="n">
        <f aca="false">Q304+P305</f>
        <v>785721</v>
      </c>
      <c r="R305" s="4" t="n">
        <f aca="false">Q305-MAX(0,MAX($Q$2:Q305))</f>
        <v>-4541</v>
      </c>
    </row>
    <row r="306" customFormat="false" ht="15" hidden="false" customHeight="false" outlineLevel="0" collapsed="false">
      <c r="A306" s="7" t="n">
        <v>45379</v>
      </c>
      <c r="B306" s="8" t="n">
        <f aca="false">YEAR(A306)</f>
        <v>2024</v>
      </c>
      <c r="C306" s="8" t="n">
        <f aca="false">MONTH(A306)</f>
        <v>3</v>
      </c>
      <c r="D306" s="8" t="s">
        <v>36</v>
      </c>
      <c r="E306" s="9" t="n">
        <v>22163.6</v>
      </c>
      <c r="F306" s="10" t="n">
        <v>12.7</v>
      </c>
      <c r="G306" s="11" t="n">
        <v>108.2</v>
      </c>
      <c r="H306" s="4" t="n">
        <v>1333</v>
      </c>
      <c r="I306" s="8" t="n">
        <v>1</v>
      </c>
      <c r="J306" s="11" t="n">
        <v>104.9</v>
      </c>
      <c r="K306" s="4" t="n">
        <v>-319</v>
      </c>
      <c r="L306" s="8" t="n">
        <v>1</v>
      </c>
      <c r="M306" s="11" t="n">
        <v>99.7</v>
      </c>
      <c r="N306" s="4" t="n">
        <v>-15</v>
      </c>
      <c r="O306" s="8" t="n">
        <v>1</v>
      </c>
      <c r="P306" s="4" t="n">
        <f aca="false">H306+K306+N306</f>
        <v>999</v>
      </c>
      <c r="Q306" s="4" t="n">
        <f aca="false">Q305+P306</f>
        <v>786720</v>
      </c>
      <c r="R306" s="4" t="n">
        <f aca="false">Q306-MAX(0,MAX($Q$2:Q306))</f>
        <v>-3542</v>
      </c>
    </row>
    <row r="307" customFormat="false" ht="15" hidden="false" customHeight="false" outlineLevel="0" collapsed="false">
      <c r="A307" s="7" t="n">
        <v>45386</v>
      </c>
      <c r="B307" s="8" t="n">
        <f aca="false">YEAR(A307)</f>
        <v>2024</v>
      </c>
      <c r="C307" s="8" t="n">
        <f aca="false">MONTH(A307)</f>
        <v>4</v>
      </c>
      <c r="D307" s="8" t="s">
        <v>36</v>
      </c>
      <c r="E307" s="9" t="n">
        <v>22592.1</v>
      </c>
      <c r="F307" s="10" t="n">
        <v>11.37</v>
      </c>
      <c r="G307" s="11" t="n">
        <v>122.2</v>
      </c>
      <c r="H307" s="4" t="n">
        <v>-2726</v>
      </c>
      <c r="I307" s="8" t="n">
        <v>2</v>
      </c>
      <c r="J307" s="11" t="n">
        <v>120.5</v>
      </c>
      <c r="K307" s="4" t="n">
        <v>-2690</v>
      </c>
      <c r="L307" s="8" t="n">
        <v>2</v>
      </c>
      <c r="M307" s="11" t="n">
        <v>114.1</v>
      </c>
      <c r="N307" s="4" t="n">
        <v>-2559</v>
      </c>
      <c r="O307" s="8" t="n">
        <v>2</v>
      </c>
      <c r="P307" s="4" t="n">
        <f aca="false">H307+K307+N307</f>
        <v>-7975</v>
      </c>
      <c r="Q307" s="4" t="n">
        <f aca="false">Q306+P307</f>
        <v>778745</v>
      </c>
      <c r="R307" s="4" t="n">
        <f aca="false">Q307-MAX(0,MAX($Q$2:Q307))</f>
        <v>-11517</v>
      </c>
    </row>
    <row r="308" customFormat="false" ht="15" hidden="false" customHeight="false" outlineLevel="0" collapsed="false">
      <c r="A308" s="7" t="n">
        <v>45392</v>
      </c>
      <c r="B308" s="8" t="n">
        <f aca="false">YEAR(A308)</f>
        <v>2024</v>
      </c>
      <c r="C308" s="8" t="n">
        <f aca="false">MONTH(A308)</f>
        <v>4</v>
      </c>
      <c r="D308" s="8" t="s">
        <v>37</v>
      </c>
      <c r="E308" s="9" t="n">
        <v>22720.2</v>
      </c>
      <c r="F308" s="10" t="n">
        <v>11.36</v>
      </c>
      <c r="G308" s="11" t="n">
        <v>95.7</v>
      </c>
      <c r="H308" s="4" t="n">
        <v>-610</v>
      </c>
      <c r="I308" s="8" t="n">
        <v>1</v>
      </c>
      <c r="J308" s="11" t="n">
        <v>91.4</v>
      </c>
      <c r="K308" s="4" t="n">
        <v>2296</v>
      </c>
      <c r="L308" s="8" t="n">
        <v>1</v>
      </c>
      <c r="M308" s="11" t="n">
        <v>87</v>
      </c>
      <c r="N308" s="4" t="n">
        <v>-2006</v>
      </c>
      <c r="O308" s="8" t="n">
        <v>2</v>
      </c>
      <c r="P308" s="4" t="n">
        <f aca="false">H308+K308+N308</f>
        <v>-320</v>
      </c>
      <c r="Q308" s="4" t="n">
        <f aca="false">Q307+P308</f>
        <v>778425</v>
      </c>
      <c r="R308" s="4" t="n">
        <f aca="false">Q308-MAX(0,MAX($Q$2:Q308))</f>
        <v>-11837</v>
      </c>
    </row>
    <row r="309" customFormat="false" ht="15" hidden="false" customHeight="false" outlineLevel="0" collapsed="false">
      <c r="A309" s="7" t="n">
        <v>45400</v>
      </c>
      <c r="B309" s="8" t="n">
        <f aca="false">YEAR(A309)</f>
        <v>2024</v>
      </c>
      <c r="C309" s="8" t="n">
        <f aca="false">MONTH(A309)</f>
        <v>4</v>
      </c>
      <c r="D309" s="8" t="s">
        <v>36</v>
      </c>
      <c r="E309" s="9" t="n">
        <v>22212.4</v>
      </c>
      <c r="F309" s="10" t="n">
        <v>12.62</v>
      </c>
      <c r="G309" s="11" t="n">
        <v>114.3</v>
      </c>
      <c r="H309" s="4" t="n">
        <v>-2564</v>
      </c>
      <c r="I309" s="8" t="n">
        <v>2</v>
      </c>
      <c r="J309" s="11" t="n">
        <v>112.1</v>
      </c>
      <c r="K309" s="4" t="n">
        <v>-2519</v>
      </c>
      <c r="L309" s="8" t="n">
        <v>2</v>
      </c>
      <c r="M309" s="11" t="n">
        <v>105.6</v>
      </c>
      <c r="N309" s="4" t="n">
        <v>-2387</v>
      </c>
      <c r="O309" s="8" t="n">
        <v>2</v>
      </c>
      <c r="P309" s="4" t="n">
        <f aca="false">H309+K309+N309</f>
        <v>-7470</v>
      </c>
      <c r="Q309" s="4" t="n">
        <f aca="false">Q308+P309</f>
        <v>770955</v>
      </c>
      <c r="R309" s="4" t="n">
        <f aca="false">Q309-MAX(0,MAX($Q$2:Q309))</f>
        <v>-19307</v>
      </c>
    </row>
    <row r="310" customFormat="false" ht="15" hidden="false" customHeight="false" outlineLevel="0" collapsed="false">
      <c r="A310" s="7" t="n">
        <v>45407</v>
      </c>
      <c r="B310" s="8" t="n">
        <f aca="false">YEAR(A310)</f>
        <v>2024</v>
      </c>
      <c r="C310" s="8" t="n">
        <f aca="false">MONTH(A310)</f>
        <v>4</v>
      </c>
      <c r="D310" s="8" t="s">
        <v>36</v>
      </c>
      <c r="E310" s="9" t="n">
        <v>22316.9</v>
      </c>
      <c r="F310" s="10" t="n">
        <v>10.28</v>
      </c>
      <c r="G310" s="11" t="n">
        <v>116.9</v>
      </c>
      <c r="H310" s="4" t="n">
        <v>-2617</v>
      </c>
      <c r="I310" s="8" t="n">
        <v>2</v>
      </c>
      <c r="J310" s="11" t="n">
        <v>114.1</v>
      </c>
      <c r="K310" s="4" t="n">
        <v>-2559</v>
      </c>
      <c r="L310" s="8" t="n">
        <v>2</v>
      </c>
      <c r="M310" s="11" t="n">
        <v>108.4</v>
      </c>
      <c r="N310" s="4" t="n">
        <v>-2444</v>
      </c>
      <c r="O310" s="8" t="n">
        <v>2</v>
      </c>
      <c r="P310" s="4" t="n">
        <f aca="false">H310+K310+N310</f>
        <v>-7620</v>
      </c>
      <c r="Q310" s="4" t="n">
        <f aca="false">Q309+P310</f>
        <v>763335</v>
      </c>
      <c r="R310" s="4" t="n">
        <f aca="false">Q310-MAX(0,MAX($Q$2:Q310))</f>
        <v>-26927</v>
      </c>
    </row>
    <row r="311" customFormat="false" ht="15" hidden="false" customHeight="false" outlineLevel="0" collapsed="false">
      <c r="A311" s="7" t="n">
        <v>45414</v>
      </c>
      <c r="B311" s="8" t="n">
        <f aca="false">YEAR(A311)</f>
        <v>2024</v>
      </c>
      <c r="C311" s="8" t="n">
        <f aca="false">MONTH(A311)</f>
        <v>5</v>
      </c>
      <c r="D311" s="8" t="s">
        <v>36</v>
      </c>
      <c r="E311" s="9" t="n">
        <v>22567.8</v>
      </c>
      <c r="F311" s="10" t="n">
        <v>12.87</v>
      </c>
      <c r="G311" s="11" t="n">
        <v>180.4</v>
      </c>
      <c r="H311" s="4" t="n">
        <v>8982</v>
      </c>
      <c r="I311" s="8" t="n">
        <v>0</v>
      </c>
      <c r="J311" s="11" t="n">
        <v>175.2</v>
      </c>
      <c r="K311" s="4" t="n">
        <v>8645</v>
      </c>
      <c r="L311" s="8" t="n">
        <v>0</v>
      </c>
      <c r="M311" s="11" t="n">
        <v>167.5</v>
      </c>
      <c r="N311" s="4" t="n">
        <v>6432</v>
      </c>
      <c r="O311" s="8" t="n">
        <v>0</v>
      </c>
      <c r="P311" s="4" t="n">
        <f aca="false">H311+K311+N311</f>
        <v>24059</v>
      </c>
      <c r="Q311" s="4" t="n">
        <f aca="false">Q310+P311</f>
        <v>787394</v>
      </c>
      <c r="R311" s="4" t="n">
        <f aca="false">Q311-MAX(0,MAX($Q$2:Q311))</f>
        <v>-2868</v>
      </c>
    </row>
    <row r="312" customFormat="false" ht="15" hidden="false" customHeight="false" outlineLevel="0" collapsed="false">
      <c r="A312" s="7" t="n">
        <v>45421</v>
      </c>
      <c r="B312" s="8" t="n">
        <f aca="false">YEAR(A312)</f>
        <v>2024</v>
      </c>
      <c r="C312" s="8" t="n">
        <f aca="false">MONTH(A312)</f>
        <v>5</v>
      </c>
      <c r="D312" s="8" t="s">
        <v>36</v>
      </c>
      <c r="E312" s="9" t="n">
        <v>22224.8</v>
      </c>
      <c r="F312" s="10" t="n">
        <v>17.08</v>
      </c>
      <c r="G312" s="11" t="n">
        <v>142</v>
      </c>
      <c r="H312" s="4" t="n">
        <v>3017</v>
      </c>
      <c r="I312" s="8" t="n">
        <v>1</v>
      </c>
      <c r="J312" s="11" t="n">
        <v>139.4</v>
      </c>
      <c r="K312" s="4" t="n">
        <v>4055</v>
      </c>
      <c r="L312" s="8" t="n">
        <v>1</v>
      </c>
      <c r="M312" s="11" t="n">
        <v>131.1</v>
      </c>
      <c r="N312" s="4" t="n">
        <v>3189</v>
      </c>
      <c r="O312" s="8" t="n">
        <v>1</v>
      </c>
      <c r="P312" s="4" t="n">
        <f aca="false">H312+K312+N312</f>
        <v>10261</v>
      </c>
      <c r="Q312" s="4" t="n">
        <f aca="false">Q311+P312</f>
        <v>797655</v>
      </c>
      <c r="R312" s="4" t="n">
        <f aca="false">Q312-MAX(0,MAX($Q$2:Q312))</f>
        <v>0</v>
      </c>
    </row>
    <row r="313" customFormat="false" ht="15" hidden="false" customHeight="false" outlineLevel="0" collapsed="false">
      <c r="A313" s="7" t="n">
        <v>45428</v>
      </c>
      <c r="B313" s="8" t="n">
        <f aca="false">YEAR(A313)</f>
        <v>2024</v>
      </c>
      <c r="C313" s="8" t="n">
        <f aca="false">MONTH(A313)</f>
        <v>5</v>
      </c>
      <c r="D313" s="8" t="s">
        <v>36</v>
      </c>
      <c r="E313" s="9" t="n">
        <v>22319.2</v>
      </c>
      <c r="F313" s="10" t="n">
        <v>20.27</v>
      </c>
      <c r="G313" s="11" t="n">
        <v>113.2</v>
      </c>
      <c r="H313" s="4" t="n">
        <v>-2541</v>
      </c>
      <c r="I313" s="8" t="n">
        <v>2</v>
      </c>
      <c r="J313" s="11" t="n">
        <v>111.6</v>
      </c>
      <c r="K313" s="4" t="n">
        <v>-2509</v>
      </c>
      <c r="L313" s="8" t="n">
        <v>2</v>
      </c>
      <c r="M313" s="11" t="n">
        <v>104.3</v>
      </c>
      <c r="N313" s="4" t="n">
        <v>-2360</v>
      </c>
      <c r="O313" s="8" t="n">
        <v>2</v>
      </c>
      <c r="P313" s="4" t="n">
        <f aca="false">H313+K313+N313</f>
        <v>-7410</v>
      </c>
      <c r="Q313" s="4" t="n">
        <f aca="false">Q312+P313</f>
        <v>790245</v>
      </c>
      <c r="R313" s="4" t="n">
        <f aca="false">Q313-MAX(0,MAX($Q$2:Q313))</f>
        <v>-7410</v>
      </c>
    </row>
    <row r="314" customFormat="false" ht="15" hidden="false" customHeight="false" outlineLevel="0" collapsed="false">
      <c r="A314" s="7" t="n">
        <v>45435</v>
      </c>
      <c r="B314" s="8" t="n">
        <f aca="false">YEAR(A314)</f>
        <v>2024</v>
      </c>
      <c r="C314" s="8" t="n">
        <f aca="false">MONTH(A314)</f>
        <v>5</v>
      </c>
      <c r="D314" s="8" t="s">
        <v>36</v>
      </c>
      <c r="E314" s="9" t="n">
        <v>22614.1</v>
      </c>
      <c r="F314" s="10" t="n">
        <v>21.47</v>
      </c>
      <c r="G314" s="11" t="n">
        <v>118.8</v>
      </c>
      <c r="H314" s="4" t="n">
        <v>3056</v>
      </c>
      <c r="I314" s="8" t="n">
        <v>1</v>
      </c>
      <c r="J314" s="11" t="n">
        <v>115.7</v>
      </c>
      <c r="K314" s="4" t="n">
        <v>1491</v>
      </c>
      <c r="L314" s="8" t="n">
        <v>1</v>
      </c>
      <c r="M314" s="11" t="n">
        <v>109.3</v>
      </c>
      <c r="N314" s="4" t="n">
        <v>-2463</v>
      </c>
      <c r="O314" s="8" t="n">
        <v>2</v>
      </c>
      <c r="P314" s="4" t="n">
        <f aca="false">H314+K314+N314</f>
        <v>2084</v>
      </c>
      <c r="Q314" s="4" t="n">
        <f aca="false">Q313+P314</f>
        <v>792329</v>
      </c>
      <c r="R314" s="4" t="n">
        <f aca="false">Q314-MAX(0,MAX($Q$2:Q314))</f>
        <v>-5326</v>
      </c>
    </row>
    <row r="315" customFormat="false" ht="15" hidden="false" customHeight="false" outlineLevel="0" collapsed="false">
      <c r="A315" s="7" t="n">
        <v>45442</v>
      </c>
      <c r="B315" s="8" t="n">
        <f aca="false">YEAR(A315)</f>
        <v>2024</v>
      </c>
      <c r="C315" s="8" t="n">
        <f aca="false">MONTH(A315)</f>
        <v>5</v>
      </c>
      <c r="D315" s="8" t="s">
        <v>36</v>
      </c>
      <c r="E315" s="9" t="n">
        <v>22617.4</v>
      </c>
      <c r="F315" s="10" t="n">
        <v>24.18</v>
      </c>
      <c r="G315" s="11" t="n">
        <v>174</v>
      </c>
      <c r="H315" s="4" t="n">
        <v>4212</v>
      </c>
      <c r="I315" s="8" t="n">
        <v>1</v>
      </c>
      <c r="J315" s="11" t="n">
        <v>168.8</v>
      </c>
      <c r="K315" s="4" t="n">
        <v>2881</v>
      </c>
      <c r="L315" s="8" t="n">
        <v>1</v>
      </c>
      <c r="M315" s="11" t="n">
        <v>160.8</v>
      </c>
      <c r="N315" s="4" t="n">
        <v>2794</v>
      </c>
      <c r="O315" s="8" t="n">
        <v>1</v>
      </c>
      <c r="P315" s="4" t="n">
        <f aca="false">H315+K315+N315</f>
        <v>9887</v>
      </c>
      <c r="Q315" s="4" t="n">
        <f aca="false">Q314+P315</f>
        <v>802216</v>
      </c>
      <c r="R315" s="4" t="n">
        <f aca="false">Q315-MAX(0,MAX($Q$2:Q315))</f>
        <v>0</v>
      </c>
    </row>
    <row r="316" customFormat="false" ht="15" hidden="false" customHeight="false" outlineLevel="0" collapsed="false">
      <c r="A316" s="7" t="n">
        <v>45449</v>
      </c>
      <c r="B316" s="8" t="n">
        <f aca="false">YEAR(A316)</f>
        <v>2024</v>
      </c>
      <c r="C316" s="8" t="n">
        <f aca="false">MONTH(A316)</f>
        <v>6</v>
      </c>
      <c r="D316" s="8" t="s">
        <v>36</v>
      </c>
      <c r="E316" s="9" t="n">
        <v>22798.6</v>
      </c>
      <c r="F316" s="10" t="n">
        <v>18.89</v>
      </c>
      <c r="G316" s="11" t="n">
        <v>311.1</v>
      </c>
      <c r="H316" s="4" t="n">
        <v>6734</v>
      </c>
      <c r="I316" s="8" t="n">
        <v>1</v>
      </c>
      <c r="J316" s="11" t="n">
        <v>302.5</v>
      </c>
      <c r="K316" s="4" t="n">
        <v>5375</v>
      </c>
      <c r="L316" s="8" t="n">
        <v>1</v>
      </c>
      <c r="M316" s="11" t="n">
        <v>288.9</v>
      </c>
      <c r="N316" s="4" t="n">
        <v>4730</v>
      </c>
      <c r="O316" s="8" t="n">
        <v>1</v>
      </c>
      <c r="P316" s="4" t="n">
        <f aca="false">H316+K316+N316</f>
        <v>16839</v>
      </c>
      <c r="Q316" s="4" t="n">
        <f aca="false">Q315+P316</f>
        <v>819055</v>
      </c>
      <c r="R316" s="4" t="n">
        <f aca="false">Q316-MAX(0,MAX($Q$2:Q316))</f>
        <v>0</v>
      </c>
    </row>
    <row r="317" customFormat="false" ht="15" hidden="false" customHeight="false" outlineLevel="0" collapsed="false">
      <c r="A317" s="7" t="n">
        <v>45456</v>
      </c>
      <c r="B317" s="8" t="n">
        <f aca="false">YEAR(A317)</f>
        <v>2024</v>
      </c>
      <c r="C317" s="8" t="n">
        <f aca="false">MONTH(A317)</f>
        <v>6</v>
      </c>
      <c r="D317" s="8" t="s">
        <v>36</v>
      </c>
      <c r="E317" s="9" t="n">
        <v>23481</v>
      </c>
      <c r="F317" s="10" t="n">
        <v>14.39</v>
      </c>
      <c r="G317" s="11" t="n">
        <v>169.9</v>
      </c>
      <c r="H317" s="4" t="n">
        <v>8498</v>
      </c>
      <c r="I317" s="8" t="n">
        <v>0</v>
      </c>
      <c r="J317" s="11" t="n">
        <v>164.7</v>
      </c>
      <c r="K317" s="4" t="n">
        <v>8165</v>
      </c>
      <c r="L317" s="8" t="n">
        <v>0</v>
      </c>
      <c r="M317" s="11" t="n">
        <v>157.2</v>
      </c>
      <c r="N317" s="4" t="n">
        <v>7674</v>
      </c>
      <c r="O317" s="8" t="n">
        <v>0</v>
      </c>
      <c r="P317" s="4" t="n">
        <f aca="false">H317+K317+N317</f>
        <v>24337</v>
      </c>
      <c r="Q317" s="4" t="n">
        <f aca="false">Q316+P317</f>
        <v>843392</v>
      </c>
      <c r="R317" s="4" t="n">
        <f aca="false">Q317-MAX(0,MAX($Q$2:Q317))</f>
        <v>0</v>
      </c>
    </row>
    <row r="318" customFormat="false" ht="15" hidden="false" customHeight="false" outlineLevel="0" collapsed="false">
      <c r="A318" s="7" t="n">
        <v>45463</v>
      </c>
      <c r="B318" s="8" t="n">
        <f aca="false">YEAR(A318)</f>
        <v>2024</v>
      </c>
      <c r="C318" s="8" t="n">
        <f aca="false">MONTH(A318)</f>
        <v>6</v>
      </c>
      <c r="D318" s="8" t="s">
        <v>36</v>
      </c>
      <c r="E318" s="9" t="n">
        <v>23586.2</v>
      </c>
      <c r="F318" s="10" t="n">
        <v>13.71</v>
      </c>
      <c r="G318" s="11" t="n">
        <v>121.7</v>
      </c>
      <c r="H318" s="4" t="n">
        <v>-2716</v>
      </c>
      <c r="I318" s="8" t="n">
        <v>2</v>
      </c>
      <c r="J318" s="11" t="n">
        <v>117.6</v>
      </c>
      <c r="K318" s="4" t="n">
        <v>2422</v>
      </c>
      <c r="L318" s="8" t="n">
        <v>1</v>
      </c>
      <c r="M318" s="11" t="n">
        <v>112.8</v>
      </c>
      <c r="N318" s="4" t="n">
        <v>1614</v>
      </c>
      <c r="O318" s="8" t="n">
        <v>1</v>
      </c>
      <c r="P318" s="4" t="n">
        <f aca="false">H318+K318+N318</f>
        <v>1320</v>
      </c>
      <c r="Q318" s="4" t="n">
        <f aca="false">Q317+P318</f>
        <v>844712</v>
      </c>
      <c r="R318" s="4" t="n">
        <f aca="false">Q318-MAX(0,MAX($Q$2:Q318))</f>
        <v>0</v>
      </c>
    </row>
    <row r="319" customFormat="false" ht="15" hidden="false" customHeight="false" outlineLevel="0" collapsed="false">
      <c r="A319" s="7" t="n">
        <v>45470</v>
      </c>
      <c r="B319" s="8" t="n">
        <f aca="false">YEAR(A319)</f>
        <v>2024</v>
      </c>
      <c r="C319" s="8" t="n">
        <f aca="false">MONTH(A319)</f>
        <v>6</v>
      </c>
      <c r="D319" s="8" t="s">
        <v>36</v>
      </c>
      <c r="E319" s="9" t="n">
        <v>23881.6</v>
      </c>
      <c r="F319" s="10" t="n">
        <v>14.05</v>
      </c>
      <c r="G319" s="11" t="n">
        <v>139.9</v>
      </c>
      <c r="H319" s="4" t="n">
        <v>2232</v>
      </c>
      <c r="I319" s="8" t="n">
        <v>1</v>
      </c>
      <c r="J319" s="11" t="n">
        <v>135.9</v>
      </c>
      <c r="K319" s="4" t="n">
        <v>-3006</v>
      </c>
      <c r="L319" s="8" t="n">
        <v>2</v>
      </c>
      <c r="M319" s="11" t="n">
        <v>129.1</v>
      </c>
      <c r="N319" s="4" t="n">
        <v>-2867</v>
      </c>
      <c r="O319" s="8" t="n">
        <v>2</v>
      </c>
      <c r="P319" s="4" t="n">
        <f aca="false">H319+K319+N319</f>
        <v>-3641</v>
      </c>
      <c r="Q319" s="4" t="n">
        <f aca="false">Q318+P319</f>
        <v>841071</v>
      </c>
      <c r="R319" s="4" t="n">
        <f aca="false">Q319-MAX(0,MAX($Q$2:Q319))</f>
        <v>-3641</v>
      </c>
    </row>
    <row r="320" customFormat="false" ht="15" hidden="false" customHeight="false" outlineLevel="0" collapsed="false">
      <c r="A320" s="7" t="n">
        <v>45477</v>
      </c>
      <c r="B320" s="8" t="n">
        <f aca="false">YEAR(A320)</f>
        <v>2024</v>
      </c>
      <c r="C320" s="8" t="n">
        <f aca="false">MONTH(A320)</f>
        <v>7</v>
      </c>
      <c r="D320" s="8" t="s">
        <v>36</v>
      </c>
      <c r="E320" s="9" t="n">
        <v>24370</v>
      </c>
      <c r="F320" s="10" t="n">
        <v>13.21</v>
      </c>
      <c r="G320" s="11" t="n">
        <v>132</v>
      </c>
      <c r="H320" s="4" t="n">
        <v>2622</v>
      </c>
      <c r="I320" s="8" t="n">
        <v>1</v>
      </c>
      <c r="J320" s="11" t="n">
        <v>128.4</v>
      </c>
      <c r="K320" s="4" t="n">
        <v>2174</v>
      </c>
      <c r="L320" s="8" t="n">
        <v>1</v>
      </c>
      <c r="M320" s="11" t="n">
        <v>123.2</v>
      </c>
      <c r="N320" s="4" t="n">
        <v>5988</v>
      </c>
      <c r="O320" s="8" t="n">
        <v>0</v>
      </c>
      <c r="P320" s="4" t="n">
        <f aca="false">H320+K320+N320</f>
        <v>10784</v>
      </c>
      <c r="Q320" s="4" t="n">
        <f aca="false">Q319+P320</f>
        <v>851855</v>
      </c>
      <c r="R320" s="4" t="n">
        <f aca="false">Q320-MAX(0,MAX($Q$2:Q320))</f>
        <v>0</v>
      </c>
    </row>
    <row r="321" customFormat="false" ht="15" hidden="false" customHeight="false" outlineLevel="0" collapsed="false">
      <c r="A321" s="7" t="n">
        <v>45484</v>
      </c>
      <c r="B321" s="8" t="n">
        <f aca="false">YEAR(A321)</f>
        <v>2024</v>
      </c>
      <c r="C321" s="8" t="n">
        <f aca="false">MONTH(A321)</f>
        <v>7</v>
      </c>
      <c r="D321" s="8" t="s">
        <v>36</v>
      </c>
      <c r="E321" s="9" t="n">
        <v>24396.6</v>
      </c>
      <c r="F321" s="10" t="n">
        <v>14.43</v>
      </c>
      <c r="G321" s="11" t="n">
        <v>111.5</v>
      </c>
      <c r="H321" s="4" t="n">
        <v>1821</v>
      </c>
      <c r="I321" s="8" t="n">
        <v>1</v>
      </c>
      <c r="J321" s="11" t="n">
        <v>108.4</v>
      </c>
      <c r="K321" s="4" t="n">
        <v>2254</v>
      </c>
      <c r="L321" s="8" t="n">
        <v>1</v>
      </c>
      <c r="M321" s="11" t="n">
        <v>103.1</v>
      </c>
      <c r="N321" s="4" t="n">
        <v>-2335</v>
      </c>
      <c r="O321" s="8" t="n">
        <v>2</v>
      </c>
      <c r="P321" s="4" t="n">
        <f aca="false">H321+K321+N321</f>
        <v>1740</v>
      </c>
      <c r="Q321" s="4" t="n">
        <f aca="false">Q320+P321</f>
        <v>853595</v>
      </c>
      <c r="R321" s="4" t="n">
        <f aca="false">Q321-MAX(0,MAX($Q$2:Q321))</f>
        <v>0</v>
      </c>
    </row>
    <row r="322" customFormat="false" ht="15" hidden="false" customHeight="false" outlineLevel="0" collapsed="false">
      <c r="A322" s="7" t="n">
        <v>45491</v>
      </c>
      <c r="B322" s="8" t="n">
        <f aca="false">YEAR(A322)</f>
        <v>2024</v>
      </c>
      <c r="C322" s="8" t="n">
        <f aca="false">MONTH(A322)</f>
        <v>7</v>
      </c>
      <c r="D322" s="8" t="s">
        <v>36</v>
      </c>
      <c r="E322" s="9" t="n">
        <v>24543.8</v>
      </c>
      <c r="F322" s="10" t="n">
        <v>14.22</v>
      </c>
      <c r="G322" s="11" t="n">
        <v>162.6</v>
      </c>
      <c r="H322" s="4" t="n">
        <v>-3553</v>
      </c>
      <c r="I322" s="8" t="n">
        <v>2</v>
      </c>
      <c r="J322" s="11" t="n">
        <v>158</v>
      </c>
      <c r="K322" s="4" t="n">
        <v>-3458</v>
      </c>
      <c r="L322" s="8" t="n">
        <v>2</v>
      </c>
      <c r="M322" s="11" t="n">
        <v>150.6</v>
      </c>
      <c r="N322" s="4" t="n">
        <v>-3307</v>
      </c>
      <c r="O322" s="8" t="n">
        <v>2</v>
      </c>
      <c r="P322" s="4" t="n">
        <f aca="false">H322+K322+N322</f>
        <v>-10318</v>
      </c>
      <c r="Q322" s="4" t="n">
        <f aca="false">Q321+P322</f>
        <v>843277</v>
      </c>
      <c r="R322" s="4" t="n">
        <f aca="false">Q322-MAX(0,MAX($Q$2:Q322))</f>
        <v>-10318</v>
      </c>
    </row>
    <row r="323" customFormat="false" ht="15" hidden="false" customHeight="false" outlineLevel="0" collapsed="false">
      <c r="A323" s="7" t="n">
        <v>45498</v>
      </c>
      <c r="B323" s="8" t="n">
        <f aca="false">YEAR(A323)</f>
        <v>2024</v>
      </c>
      <c r="C323" s="8" t="n">
        <f aca="false">MONTH(A323)</f>
        <v>7</v>
      </c>
      <c r="D323" s="8" t="s">
        <v>36</v>
      </c>
      <c r="E323" s="9" t="n">
        <v>24231</v>
      </c>
      <c r="F323" s="10" t="n">
        <v>11.76</v>
      </c>
      <c r="G323" s="11" t="n">
        <v>154.3</v>
      </c>
      <c r="H323" s="4" t="n">
        <v>3477</v>
      </c>
      <c r="I323" s="8" t="n">
        <v>1</v>
      </c>
      <c r="J323" s="11" t="n">
        <v>149.7</v>
      </c>
      <c r="K323" s="4" t="n">
        <v>2845</v>
      </c>
      <c r="L323" s="8" t="n">
        <v>1</v>
      </c>
      <c r="M323" s="11" t="n">
        <v>142.7</v>
      </c>
      <c r="N323" s="4" t="n">
        <v>2688</v>
      </c>
      <c r="O323" s="8" t="n">
        <v>1</v>
      </c>
      <c r="P323" s="4" t="n">
        <f aca="false">H323+K323+N323</f>
        <v>9010</v>
      </c>
      <c r="Q323" s="4" t="n">
        <f aca="false">Q322+P323</f>
        <v>852287</v>
      </c>
      <c r="R323" s="4" t="n">
        <f aca="false">Q323-MAX(0,MAX($Q$2:Q323))</f>
        <v>-1308</v>
      </c>
    </row>
    <row r="324" customFormat="false" ht="15" hidden="false" customHeight="false" outlineLevel="0" collapsed="false">
      <c r="A324" s="7" t="n">
        <v>45505</v>
      </c>
      <c r="B324" s="8" t="n">
        <f aca="false">YEAR(A324)</f>
        <v>2024</v>
      </c>
      <c r="C324" s="8" t="n">
        <f aca="false">MONTH(A324)</f>
        <v>8</v>
      </c>
      <c r="D324" s="8" t="s">
        <v>36</v>
      </c>
      <c r="E324" s="9" t="n">
        <v>25031</v>
      </c>
      <c r="F324" s="10" t="n">
        <v>13.25</v>
      </c>
      <c r="G324" s="11" t="n">
        <v>134.8</v>
      </c>
      <c r="H324" s="4" t="n">
        <v>2610</v>
      </c>
      <c r="I324" s="8" t="n">
        <v>1</v>
      </c>
      <c r="J324" s="11" t="n">
        <v>130.8</v>
      </c>
      <c r="K324" s="4" t="n">
        <v>2430</v>
      </c>
      <c r="L324" s="8" t="n">
        <v>1</v>
      </c>
      <c r="M324" s="11" t="n">
        <v>126.1</v>
      </c>
      <c r="N324" s="4" t="n">
        <v>5884</v>
      </c>
      <c r="O324" s="8" t="n">
        <v>0</v>
      </c>
      <c r="P324" s="4" t="n">
        <f aca="false">H324+K324+N324</f>
        <v>10924</v>
      </c>
      <c r="Q324" s="4" t="n">
        <f aca="false">Q323+P324</f>
        <v>863211</v>
      </c>
      <c r="R324" s="4" t="n">
        <f aca="false">Q324-MAX(0,MAX($Q$2:Q324))</f>
        <v>0</v>
      </c>
    </row>
    <row r="325" customFormat="false" ht="15" hidden="false" customHeight="false" outlineLevel="0" collapsed="false">
      <c r="A325" s="7" t="n">
        <v>45512</v>
      </c>
      <c r="B325" s="8" t="n">
        <f aca="false">YEAR(A325)</f>
        <v>2024</v>
      </c>
      <c r="C325" s="8" t="n">
        <f aca="false">MONTH(A325)</f>
        <v>8</v>
      </c>
      <c r="D325" s="8" t="s">
        <v>36</v>
      </c>
      <c r="E325" s="9" t="n">
        <v>24248.6</v>
      </c>
      <c r="F325" s="10" t="n">
        <v>16.17</v>
      </c>
      <c r="G325" s="11" t="n">
        <v>168</v>
      </c>
      <c r="H325" s="4" t="n">
        <v>-3663</v>
      </c>
      <c r="I325" s="8" t="n">
        <v>2</v>
      </c>
      <c r="J325" s="11" t="n">
        <v>163.4</v>
      </c>
      <c r="K325" s="4" t="n">
        <v>-3569</v>
      </c>
      <c r="L325" s="8" t="n">
        <v>2</v>
      </c>
      <c r="M325" s="11" t="n">
        <v>155.1</v>
      </c>
      <c r="N325" s="4" t="n">
        <v>-79</v>
      </c>
      <c r="O325" s="8" t="n">
        <v>1</v>
      </c>
      <c r="P325" s="4" t="n">
        <f aca="false">H325+K325+N325</f>
        <v>-7311</v>
      </c>
      <c r="Q325" s="4" t="n">
        <f aca="false">Q324+P325</f>
        <v>855900</v>
      </c>
      <c r="R325" s="4" t="n">
        <f aca="false">Q325-MAX(0,MAX($Q$2:Q325))</f>
        <v>-7311</v>
      </c>
    </row>
    <row r="326" customFormat="false" ht="15" hidden="false" customHeight="false" outlineLevel="0" collapsed="false">
      <c r="A326" s="7" t="n">
        <v>45518</v>
      </c>
      <c r="B326" s="8" t="n">
        <f aca="false">YEAR(A326)</f>
        <v>2024</v>
      </c>
      <c r="C326" s="8" t="n">
        <f aca="false">MONTH(A326)</f>
        <v>8</v>
      </c>
      <c r="D326" s="8" t="s">
        <v>37</v>
      </c>
      <c r="E326" s="9" t="n">
        <v>24184.4</v>
      </c>
      <c r="F326" s="10" t="n">
        <v>16.17</v>
      </c>
      <c r="G326" s="11" t="n">
        <v>178.5</v>
      </c>
      <c r="H326" s="4" t="n">
        <v>8816</v>
      </c>
      <c r="I326" s="8" t="n">
        <v>0</v>
      </c>
      <c r="J326" s="11" t="n">
        <v>172.9</v>
      </c>
      <c r="K326" s="4" t="n">
        <v>8451</v>
      </c>
      <c r="L326" s="8" t="n">
        <v>0</v>
      </c>
      <c r="M326" s="11" t="n">
        <v>164.9</v>
      </c>
      <c r="N326" s="4" t="n">
        <v>7931</v>
      </c>
      <c r="O326" s="8" t="n">
        <v>0</v>
      </c>
      <c r="P326" s="4" t="n">
        <f aca="false">H326+K326+N326</f>
        <v>25198</v>
      </c>
      <c r="Q326" s="4" t="n">
        <f aca="false">Q325+P326</f>
        <v>881098</v>
      </c>
      <c r="R326" s="4" t="n">
        <f aca="false">Q326-MAX(0,MAX($Q$2:Q326))</f>
        <v>0</v>
      </c>
    </row>
    <row r="327" customFormat="false" ht="15" hidden="false" customHeight="false" outlineLevel="0" collapsed="false">
      <c r="A327" s="7" t="n">
        <v>45526</v>
      </c>
      <c r="B327" s="8" t="n">
        <f aca="false">YEAR(A327)</f>
        <v>2024</v>
      </c>
      <c r="C327" s="8" t="n">
        <f aca="false">MONTH(A327)</f>
        <v>8</v>
      </c>
      <c r="D327" s="8" t="s">
        <v>36</v>
      </c>
      <c r="E327" s="9" t="n">
        <v>24863.4</v>
      </c>
      <c r="F327" s="10" t="n">
        <v>13.33</v>
      </c>
      <c r="G327" s="11" t="n">
        <v>103.4</v>
      </c>
      <c r="H327" s="4" t="n">
        <v>1492</v>
      </c>
      <c r="I327" s="8" t="n">
        <v>1</v>
      </c>
      <c r="J327" s="11" t="n">
        <v>100.6</v>
      </c>
      <c r="K327" s="4" t="n">
        <v>4797</v>
      </c>
      <c r="L327" s="8" t="n">
        <v>0</v>
      </c>
      <c r="M327" s="11" t="n">
        <v>97</v>
      </c>
      <c r="N327" s="4" t="n">
        <v>4559</v>
      </c>
      <c r="O327" s="8" t="n">
        <v>0</v>
      </c>
      <c r="P327" s="4" t="n">
        <f aca="false">H327+K327+N327</f>
        <v>10848</v>
      </c>
      <c r="Q327" s="4" t="n">
        <f aca="false">Q326+P327</f>
        <v>891946</v>
      </c>
      <c r="R327" s="4" t="n">
        <f aca="false">Q327-MAX(0,MAX($Q$2:Q327))</f>
        <v>0</v>
      </c>
    </row>
    <row r="328" customFormat="false" ht="15" hidden="false" customHeight="false" outlineLevel="0" collapsed="false">
      <c r="A328" s="7" t="n">
        <v>45533</v>
      </c>
      <c r="B328" s="8" t="n">
        <f aca="false">YEAR(A328)</f>
        <v>2024</v>
      </c>
      <c r="C328" s="8" t="n">
        <f aca="false">MONTH(A328)</f>
        <v>8</v>
      </c>
      <c r="D328" s="8" t="s">
        <v>36</v>
      </c>
      <c r="E328" s="9" t="n">
        <v>25035.3</v>
      </c>
      <c r="F328" s="10" t="n">
        <v>13.95</v>
      </c>
      <c r="G328" s="11" t="n">
        <v>90.6</v>
      </c>
      <c r="H328" s="4" t="n">
        <v>-2078</v>
      </c>
      <c r="I328" s="8" t="n">
        <v>2</v>
      </c>
      <c r="J328" s="11" t="n">
        <v>87.1</v>
      </c>
      <c r="K328" s="4" t="n">
        <v>-2008</v>
      </c>
      <c r="L328" s="8" t="n">
        <v>2</v>
      </c>
      <c r="M328" s="11" t="n">
        <v>83.8</v>
      </c>
      <c r="N328" s="4" t="n">
        <v>-1940</v>
      </c>
      <c r="O328" s="8" t="n">
        <v>2</v>
      </c>
      <c r="P328" s="4" t="n">
        <f aca="false">H328+K328+N328</f>
        <v>-6026</v>
      </c>
      <c r="Q328" s="4" t="n">
        <f aca="false">Q327+P328</f>
        <v>885920</v>
      </c>
      <c r="R328" s="4" t="n">
        <f aca="false">Q328-MAX(0,MAX($Q$2:Q328))</f>
        <v>-6026</v>
      </c>
    </row>
    <row r="329" customFormat="false" ht="15" hidden="false" customHeight="false" outlineLevel="0" collapsed="false">
      <c r="A329" s="7" t="n">
        <v>45540</v>
      </c>
      <c r="B329" s="8" t="n">
        <f aca="false">YEAR(A329)</f>
        <v>2024</v>
      </c>
      <c r="C329" s="8" t="n">
        <f aca="false">MONTH(A329)</f>
        <v>9</v>
      </c>
      <c r="D329" s="8" t="s">
        <v>36</v>
      </c>
      <c r="E329" s="9" t="n">
        <v>25250.5</v>
      </c>
      <c r="F329" s="10" t="n">
        <v>14.38</v>
      </c>
      <c r="G329" s="11" t="n">
        <v>96.4</v>
      </c>
      <c r="H329" s="4" t="n">
        <v>2554</v>
      </c>
      <c r="I329" s="8" t="n">
        <v>1</v>
      </c>
      <c r="J329" s="11" t="n">
        <v>93.6</v>
      </c>
      <c r="K329" s="4" t="n">
        <v>2515</v>
      </c>
      <c r="L329" s="8" t="n">
        <v>1</v>
      </c>
      <c r="M329" s="11" t="n">
        <v>89.8</v>
      </c>
      <c r="N329" s="4" t="n">
        <v>267</v>
      </c>
      <c r="O329" s="8" t="n">
        <v>1</v>
      </c>
      <c r="P329" s="4" t="n">
        <f aca="false">H329+K329+N329</f>
        <v>5336</v>
      </c>
      <c r="Q329" s="4" t="n">
        <f aca="false">Q328+P329</f>
        <v>891256</v>
      </c>
      <c r="R329" s="4" t="n">
        <f aca="false">Q329-MAX(0,MAX($Q$2:Q329))</f>
        <v>-690</v>
      </c>
    </row>
    <row r="330" customFormat="false" ht="15" hidden="false" customHeight="false" outlineLevel="0" collapsed="false">
      <c r="A330" s="7" t="n">
        <v>45547</v>
      </c>
      <c r="B330" s="8" t="n">
        <f aca="false">YEAR(A330)</f>
        <v>2024</v>
      </c>
      <c r="C330" s="8" t="n">
        <f aca="false">MONTH(A330)</f>
        <v>9</v>
      </c>
      <c r="D330" s="8" t="s">
        <v>36</v>
      </c>
      <c r="E330" s="9" t="n">
        <v>25059.6</v>
      </c>
      <c r="F330" s="10" t="n">
        <v>13.63</v>
      </c>
      <c r="G330" s="11" t="n">
        <v>134.6</v>
      </c>
      <c r="H330" s="4" t="n">
        <v>-2980</v>
      </c>
      <c r="I330" s="8" t="n">
        <v>2</v>
      </c>
      <c r="J330" s="11" t="n">
        <v>131.4</v>
      </c>
      <c r="K330" s="4" t="n">
        <v>-2913</v>
      </c>
      <c r="L330" s="8" t="n">
        <v>2</v>
      </c>
      <c r="M330" s="11" t="n">
        <v>124.5</v>
      </c>
      <c r="N330" s="4" t="n">
        <v>-2772</v>
      </c>
      <c r="O330" s="8" t="n">
        <v>2</v>
      </c>
      <c r="P330" s="4" t="n">
        <f aca="false">H330+K330+N330</f>
        <v>-8665</v>
      </c>
      <c r="Q330" s="4" t="n">
        <f aca="false">Q329+P330</f>
        <v>882591</v>
      </c>
      <c r="R330" s="4" t="n">
        <f aca="false">Q330-MAX(0,MAX($Q$2:Q330))</f>
        <v>-9355</v>
      </c>
    </row>
    <row r="331" customFormat="false" ht="15" hidden="false" customHeight="false" outlineLevel="0" collapsed="false">
      <c r="A331" s="7" t="n">
        <v>45554</v>
      </c>
      <c r="B331" s="8" t="n">
        <f aca="false">YEAR(A331)</f>
        <v>2024</v>
      </c>
      <c r="C331" s="8" t="n">
        <f aca="false">MONTH(A331)</f>
        <v>9</v>
      </c>
      <c r="D331" s="8" t="s">
        <v>36</v>
      </c>
      <c r="E331" s="9" t="n">
        <v>25487</v>
      </c>
      <c r="F331" s="10" t="n">
        <v>13.37</v>
      </c>
      <c r="G331" s="11" t="n">
        <v>163.9</v>
      </c>
      <c r="H331" s="4" t="n">
        <v>3882</v>
      </c>
      <c r="I331" s="8" t="n">
        <v>1</v>
      </c>
      <c r="J331" s="11" t="n">
        <v>158.8</v>
      </c>
      <c r="K331" s="4" t="n">
        <v>2753</v>
      </c>
      <c r="L331" s="8" t="n">
        <v>1</v>
      </c>
      <c r="M331" s="11" t="n">
        <v>151.6</v>
      </c>
      <c r="N331" s="4" t="n">
        <v>3953</v>
      </c>
      <c r="O331" s="8" t="n">
        <v>1</v>
      </c>
      <c r="P331" s="4" t="n">
        <f aca="false">H331+K331+N331</f>
        <v>10588</v>
      </c>
      <c r="Q331" s="4" t="n">
        <f aca="false">Q330+P331</f>
        <v>893179</v>
      </c>
      <c r="R331" s="4" t="n">
        <f aca="false">Q331-MAX(0,MAX($Q$2:Q331))</f>
        <v>0</v>
      </c>
    </row>
    <row r="332" customFormat="false" ht="15" hidden="false" customHeight="false" outlineLevel="0" collapsed="false">
      <c r="A332" s="7" t="n">
        <v>45561</v>
      </c>
      <c r="B332" s="8" t="n">
        <f aca="false">YEAR(A332)</f>
        <v>2024</v>
      </c>
      <c r="C332" s="8" t="n">
        <f aca="false">MONTH(A332)</f>
        <v>9</v>
      </c>
      <c r="D332" s="8" t="s">
        <v>36</v>
      </c>
      <c r="E332" s="9" t="n">
        <v>26005.4</v>
      </c>
      <c r="F332" s="10" t="n">
        <v>12.74</v>
      </c>
      <c r="G332" s="11" t="n">
        <v>111.4</v>
      </c>
      <c r="H332" s="4" t="n">
        <v>2829</v>
      </c>
      <c r="I332" s="8" t="n">
        <v>1</v>
      </c>
      <c r="J332" s="11" t="n">
        <v>107.6</v>
      </c>
      <c r="K332" s="4" t="n">
        <v>2110</v>
      </c>
      <c r="L332" s="8" t="n">
        <v>1</v>
      </c>
      <c r="M332" s="11" t="n">
        <v>105.1</v>
      </c>
      <c r="N332" s="4" t="n">
        <v>902</v>
      </c>
      <c r="O332" s="8" t="n">
        <v>1</v>
      </c>
      <c r="P332" s="4" t="n">
        <f aca="false">H332+K332+N332</f>
        <v>5841</v>
      </c>
      <c r="Q332" s="4" t="n">
        <f aca="false">Q331+P332</f>
        <v>899020</v>
      </c>
      <c r="R332" s="4" t="n">
        <f aca="false">Q332-MAX(0,MAX($Q$2:Q332))</f>
        <v>0</v>
      </c>
    </row>
    <row r="333" customFormat="false" ht="15" hidden="false" customHeight="false" outlineLevel="0" collapsed="false">
      <c r="A333" s="7" t="n">
        <v>45568</v>
      </c>
      <c r="B333" s="8" t="n">
        <f aca="false">YEAR(A333)</f>
        <v>2024</v>
      </c>
      <c r="C333" s="8" t="n">
        <f aca="false">MONTH(A333)</f>
        <v>10</v>
      </c>
      <c r="D333" s="8" t="s">
        <v>36</v>
      </c>
      <c r="E333" s="9" t="n">
        <v>25452.8</v>
      </c>
      <c r="F333" s="10" t="n">
        <v>11.99</v>
      </c>
      <c r="G333" s="11" t="n">
        <v>213.9</v>
      </c>
      <c r="H333" s="4" t="n">
        <v>5497</v>
      </c>
      <c r="I333" s="8" t="n">
        <v>1</v>
      </c>
      <c r="J333" s="11" t="n">
        <v>206.8</v>
      </c>
      <c r="K333" s="4" t="n">
        <v>4994</v>
      </c>
      <c r="L333" s="8" t="n">
        <v>1</v>
      </c>
      <c r="M333" s="11" t="n">
        <v>196.8</v>
      </c>
      <c r="N333" s="4" t="n">
        <v>3722</v>
      </c>
      <c r="O333" s="8" t="n">
        <v>1</v>
      </c>
      <c r="P333" s="4" t="n">
        <f aca="false">H333+K333+N333</f>
        <v>14213</v>
      </c>
      <c r="Q333" s="4" t="n">
        <f aca="false">Q332+P333</f>
        <v>913233</v>
      </c>
      <c r="R333" s="4" t="n">
        <f aca="false">Q333-MAX(0,MAX($Q$2:Q333))</f>
        <v>0</v>
      </c>
    </row>
    <row r="334" customFormat="false" ht="15" hidden="false" customHeight="false" outlineLevel="0" collapsed="false">
      <c r="A334" s="7" t="n">
        <v>45575</v>
      </c>
      <c r="B334" s="8" t="n">
        <f aca="false">YEAR(A334)</f>
        <v>2024</v>
      </c>
      <c r="C334" s="8" t="n">
        <f aca="false">MONTH(A334)</f>
        <v>10</v>
      </c>
      <c r="D334" s="8" t="s">
        <v>36</v>
      </c>
      <c r="E334" s="9" t="n">
        <v>25067</v>
      </c>
      <c r="F334" s="10" t="n">
        <v>14.12</v>
      </c>
      <c r="G334" s="11" t="n">
        <v>150.8</v>
      </c>
      <c r="H334" s="4" t="n">
        <v>1322</v>
      </c>
      <c r="I334" s="8" t="n">
        <v>1</v>
      </c>
      <c r="J334" s="11" t="n">
        <v>147.3</v>
      </c>
      <c r="K334" s="4" t="n">
        <v>-3240</v>
      </c>
      <c r="L334" s="8" t="n">
        <v>2</v>
      </c>
      <c r="M334" s="11" t="n">
        <v>139.8</v>
      </c>
      <c r="N334" s="4" t="n">
        <v>3434</v>
      </c>
      <c r="O334" s="8" t="n">
        <v>1</v>
      </c>
      <c r="P334" s="4" t="n">
        <f aca="false">H334+K334+N334</f>
        <v>1516</v>
      </c>
      <c r="Q334" s="4" t="n">
        <f aca="false">Q333+P334</f>
        <v>914749</v>
      </c>
      <c r="R334" s="4" t="n">
        <f aca="false">Q334-MAX(0,MAX($Q$2:Q334))</f>
        <v>0</v>
      </c>
    </row>
    <row r="335" customFormat="false" ht="15" hidden="false" customHeight="false" outlineLevel="0" collapsed="false">
      <c r="A335" s="7" t="n">
        <v>45582</v>
      </c>
      <c r="B335" s="8" t="n">
        <f aca="false">YEAR(A335)</f>
        <v>2024</v>
      </c>
      <c r="C335" s="8" t="n">
        <f aca="false">MONTH(A335)</f>
        <v>10</v>
      </c>
      <c r="D335" s="8" t="s">
        <v>36</v>
      </c>
      <c r="E335" s="9" t="n">
        <v>25027.4</v>
      </c>
      <c r="F335" s="10" t="n">
        <v>13.05</v>
      </c>
      <c r="G335" s="11" t="n">
        <v>115.5</v>
      </c>
      <c r="H335" s="4" t="n">
        <v>2612</v>
      </c>
      <c r="I335" s="8" t="n">
        <v>1</v>
      </c>
      <c r="J335" s="11" t="n">
        <v>112.8</v>
      </c>
      <c r="K335" s="4" t="n">
        <v>1547</v>
      </c>
      <c r="L335" s="8" t="n">
        <v>1</v>
      </c>
      <c r="M335" s="11" t="n">
        <v>107</v>
      </c>
      <c r="N335" s="4" t="n">
        <v>1704</v>
      </c>
      <c r="O335" s="8" t="n">
        <v>1</v>
      </c>
      <c r="P335" s="4" t="n">
        <f aca="false">H335+K335+N335</f>
        <v>5863</v>
      </c>
      <c r="Q335" s="4" t="n">
        <f aca="false">Q334+P335</f>
        <v>920612</v>
      </c>
      <c r="R335" s="4" t="n">
        <f aca="false">Q335-MAX(0,MAX($Q$2:Q335))</f>
        <v>0</v>
      </c>
    </row>
    <row r="336" customFormat="false" ht="15" hidden="false" customHeight="false" outlineLevel="0" collapsed="false">
      <c r="A336" s="7" t="n">
        <v>45589</v>
      </c>
      <c r="B336" s="8" t="n">
        <f aca="false">YEAR(A336)</f>
        <v>2024</v>
      </c>
      <c r="C336" s="8" t="n">
        <f aca="false">MONTH(A336)</f>
        <v>10</v>
      </c>
      <c r="D336" s="8" t="s">
        <v>36</v>
      </c>
      <c r="E336" s="9" t="n">
        <v>24412.7</v>
      </c>
      <c r="F336" s="10" t="n">
        <v>14.62</v>
      </c>
      <c r="G336" s="11" t="n">
        <v>153.1</v>
      </c>
      <c r="H336" s="4" t="n">
        <v>2275</v>
      </c>
      <c r="I336" s="8" t="n">
        <v>1</v>
      </c>
      <c r="J336" s="11" t="n">
        <v>149.3</v>
      </c>
      <c r="K336" s="4" t="n">
        <v>7397</v>
      </c>
      <c r="L336" s="8" t="n">
        <v>0</v>
      </c>
      <c r="M336" s="11" t="n">
        <v>141.9</v>
      </c>
      <c r="N336" s="4" t="n">
        <v>5413</v>
      </c>
      <c r="O336" s="8" t="n">
        <v>0</v>
      </c>
      <c r="P336" s="4" t="n">
        <f aca="false">H336+K336+N336</f>
        <v>15085</v>
      </c>
      <c r="Q336" s="4" t="n">
        <f aca="false">Q335+P336</f>
        <v>935697</v>
      </c>
      <c r="R336" s="4" t="n">
        <f aca="false">Q336-MAX(0,MAX($Q$2:Q336))</f>
        <v>0</v>
      </c>
    </row>
    <row r="337" customFormat="false" ht="15" hidden="false" customHeight="false" outlineLevel="0" collapsed="false">
      <c r="A337" s="7" t="n">
        <v>45596</v>
      </c>
      <c r="B337" s="8" t="n">
        <f aca="false">YEAR(A337)</f>
        <v>2024</v>
      </c>
      <c r="C337" s="8" t="n">
        <f aca="false">MONTH(A337)</f>
        <v>10</v>
      </c>
      <c r="D337" s="8" t="s">
        <v>36</v>
      </c>
      <c r="E337" s="9" t="n">
        <v>24349.8</v>
      </c>
      <c r="F337" s="10" t="n">
        <v>15.51</v>
      </c>
      <c r="G337" s="11" t="n">
        <v>143.9</v>
      </c>
      <c r="H337" s="4" t="n">
        <v>6126</v>
      </c>
      <c r="I337" s="8" t="n">
        <v>0</v>
      </c>
      <c r="J337" s="11" t="n">
        <v>139.3</v>
      </c>
      <c r="K337" s="4" t="n">
        <v>2742</v>
      </c>
      <c r="L337" s="8" t="n">
        <v>1</v>
      </c>
      <c r="M337" s="11" t="n">
        <v>132.9</v>
      </c>
      <c r="N337" s="4" t="n">
        <v>3160</v>
      </c>
      <c r="O337" s="8" t="n">
        <v>1</v>
      </c>
      <c r="P337" s="4" t="n">
        <f aca="false">H337+K337+N337</f>
        <v>12028</v>
      </c>
      <c r="Q337" s="4" t="n">
        <f aca="false">Q336+P337</f>
        <v>947725</v>
      </c>
      <c r="R337" s="4" t="n">
        <f aca="false">Q337-MAX(0,MAX($Q$2:Q337))</f>
        <v>0</v>
      </c>
    </row>
    <row r="338" customFormat="false" ht="15" hidden="false" customHeight="false" outlineLevel="0" collapsed="false">
      <c r="A338" s="7" t="n">
        <v>45603</v>
      </c>
      <c r="B338" s="8" t="n">
        <f aca="false">YEAR(A338)</f>
        <v>2024</v>
      </c>
      <c r="C338" s="8" t="n">
        <f aca="false">MONTH(A338)</f>
        <v>11</v>
      </c>
      <c r="D338" s="8" t="s">
        <v>36</v>
      </c>
      <c r="E338" s="9" t="n">
        <v>24489.6</v>
      </c>
      <c r="F338" s="10" t="n">
        <v>14.87</v>
      </c>
      <c r="G338" s="11" t="n">
        <v>163.8</v>
      </c>
      <c r="H338" s="4" t="n">
        <v>4229</v>
      </c>
      <c r="I338" s="8" t="n">
        <v>1</v>
      </c>
      <c r="J338" s="11" t="n">
        <v>158.8</v>
      </c>
      <c r="K338" s="4" t="n">
        <v>7885</v>
      </c>
      <c r="L338" s="8" t="n">
        <v>0</v>
      </c>
      <c r="M338" s="11" t="n">
        <v>149.9</v>
      </c>
      <c r="N338" s="4" t="n">
        <v>2310</v>
      </c>
      <c r="O338" s="8" t="n">
        <v>1</v>
      </c>
      <c r="P338" s="4" t="n">
        <f aca="false">H338+K338+N338</f>
        <v>14424</v>
      </c>
      <c r="Q338" s="4" t="n">
        <f aca="false">Q337+P338</f>
        <v>962149</v>
      </c>
      <c r="R338" s="4" t="n">
        <f aca="false">Q338-MAX(0,MAX($Q$2:Q338))</f>
        <v>0</v>
      </c>
    </row>
    <row r="339" customFormat="false" ht="15" hidden="false" customHeight="false" outlineLevel="0" collapsed="false">
      <c r="A339" s="7" t="n">
        <v>45610</v>
      </c>
      <c r="B339" s="8" t="n">
        <f aca="false">YEAR(A339)</f>
        <v>2024</v>
      </c>
      <c r="C339" s="8" t="n">
        <f aca="false">MONTH(A339)</f>
        <v>11</v>
      </c>
      <c r="D339" s="8" t="s">
        <v>36</v>
      </c>
      <c r="E339" s="9" t="n">
        <v>23542.2</v>
      </c>
      <c r="F339" s="10" t="n">
        <v>15.44</v>
      </c>
      <c r="G339" s="11" t="n">
        <v>194.7</v>
      </c>
      <c r="H339" s="4" t="n">
        <v>-4210</v>
      </c>
      <c r="I339" s="8" t="n">
        <v>2</v>
      </c>
      <c r="J339" s="11" t="n">
        <v>189.1</v>
      </c>
      <c r="K339" s="4" t="n">
        <v>4414</v>
      </c>
      <c r="L339" s="8" t="n">
        <v>1</v>
      </c>
      <c r="M339" s="11" t="n">
        <v>179.9</v>
      </c>
      <c r="N339" s="4" t="n">
        <v>4082</v>
      </c>
      <c r="O339" s="8" t="n">
        <v>1</v>
      </c>
      <c r="P339" s="4" t="n">
        <f aca="false">H339+K339+N339</f>
        <v>4286</v>
      </c>
      <c r="Q339" s="4" t="n">
        <f aca="false">Q338+P339</f>
        <v>966435</v>
      </c>
      <c r="R339" s="4" t="n">
        <f aca="false">Q339-MAX(0,MAX($Q$2:Q339))</f>
        <v>0</v>
      </c>
    </row>
    <row r="340" customFormat="false" ht="15" hidden="false" customHeight="false" outlineLevel="0" collapsed="false">
      <c r="A340" s="7" t="n">
        <v>45617</v>
      </c>
      <c r="B340" s="8" t="n">
        <f aca="false">YEAR(A340)</f>
        <v>2024</v>
      </c>
      <c r="C340" s="8" t="n">
        <f aca="false">MONTH(A340)</f>
        <v>11</v>
      </c>
      <c r="D340" s="8" t="s">
        <v>36</v>
      </c>
      <c r="E340" s="9" t="n">
        <v>23488.4</v>
      </c>
      <c r="F340" s="10" t="n">
        <v>15.66</v>
      </c>
      <c r="G340" s="11" t="n">
        <v>199.8</v>
      </c>
      <c r="H340" s="4" t="n">
        <v>8655</v>
      </c>
      <c r="I340" s="8" t="n">
        <v>0</v>
      </c>
      <c r="J340" s="11" t="n">
        <v>193.1</v>
      </c>
      <c r="K340" s="4" t="n">
        <v>9597</v>
      </c>
      <c r="L340" s="8" t="n">
        <v>0</v>
      </c>
      <c r="M340" s="11" t="n">
        <v>184.7</v>
      </c>
      <c r="N340" s="4" t="n">
        <v>7679</v>
      </c>
      <c r="O340" s="8" t="n">
        <v>0</v>
      </c>
      <c r="P340" s="4" t="n">
        <f aca="false">H340+K340+N340</f>
        <v>25931</v>
      </c>
      <c r="Q340" s="4" t="n">
        <f aca="false">Q339+P340</f>
        <v>992366</v>
      </c>
      <c r="R340" s="4" t="n">
        <f aca="false">Q340-MAX(0,MAX($Q$2:Q340))</f>
        <v>0</v>
      </c>
    </row>
    <row r="341" customFormat="false" ht="15" hidden="false" customHeight="false" outlineLevel="0" collapsed="false">
      <c r="A341" s="7" t="n">
        <v>45624</v>
      </c>
      <c r="B341" s="8" t="n">
        <f aca="false">YEAR(A341)</f>
        <v>2024</v>
      </c>
      <c r="C341" s="8" t="n">
        <f aca="false">MONTH(A341)</f>
        <v>11</v>
      </c>
      <c r="D341" s="8" t="s">
        <v>36</v>
      </c>
      <c r="E341" s="9" t="n">
        <v>24274.2</v>
      </c>
      <c r="F341" s="10" t="n">
        <v>14.63</v>
      </c>
      <c r="G341" s="11" t="n">
        <v>148.7</v>
      </c>
      <c r="H341" s="4" t="n">
        <v>-3268</v>
      </c>
      <c r="I341" s="8" t="n">
        <v>2</v>
      </c>
      <c r="J341" s="11" t="n">
        <v>143.3</v>
      </c>
      <c r="K341" s="4" t="n">
        <v>2345</v>
      </c>
      <c r="L341" s="8" t="n">
        <v>1</v>
      </c>
      <c r="M341" s="11" t="n">
        <v>136.4</v>
      </c>
      <c r="N341" s="4" t="n">
        <v>1978</v>
      </c>
      <c r="O341" s="8" t="n">
        <v>1</v>
      </c>
      <c r="P341" s="4" t="n">
        <f aca="false">H341+K341+N341</f>
        <v>1055</v>
      </c>
      <c r="Q341" s="4" t="n">
        <f aca="false">Q340+P341</f>
        <v>993421</v>
      </c>
      <c r="R341" s="4" t="n">
        <f aca="false">Q341-MAX(0,MAX($Q$2:Q341))</f>
        <v>0</v>
      </c>
    </row>
    <row r="342" customFormat="false" ht="15" hidden="false" customHeight="false" outlineLevel="0" collapsed="false">
      <c r="A342" s="7" t="n">
        <v>45631</v>
      </c>
      <c r="B342" s="8" t="n">
        <f aca="false">YEAR(A342)</f>
        <v>2024</v>
      </c>
      <c r="C342" s="8" t="n">
        <f aca="false">MONTH(A342)</f>
        <v>12</v>
      </c>
      <c r="D342" s="8" t="s">
        <v>36</v>
      </c>
      <c r="E342" s="9" t="n">
        <v>24539.2</v>
      </c>
      <c r="F342" s="10" t="n">
        <v>14.45</v>
      </c>
      <c r="G342" s="11" t="n">
        <v>229.7</v>
      </c>
      <c r="H342" s="4" t="n">
        <v>-4926</v>
      </c>
      <c r="I342" s="8" t="n">
        <v>2</v>
      </c>
      <c r="J342" s="11" t="n">
        <v>222.1</v>
      </c>
      <c r="K342" s="4" t="n">
        <v>-4770</v>
      </c>
      <c r="L342" s="8" t="n">
        <v>2</v>
      </c>
      <c r="M342" s="11" t="n">
        <v>211</v>
      </c>
      <c r="N342" s="4" t="n">
        <v>-4544</v>
      </c>
      <c r="O342" s="8" t="n">
        <v>2</v>
      </c>
      <c r="P342" s="4" t="n">
        <f aca="false">H342+K342+N342</f>
        <v>-14240</v>
      </c>
      <c r="Q342" s="4" t="n">
        <f aca="false">Q341+P342</f>
        <v>979181</v>
      </c>
      <c r="R342" s="4" t="n">
        <f aca="false">Q342-MAX(0,MAX($Q$2:Q342))</f>
        <v>-14240</v>
      </c>
    </row>
    <row r="343" customFormat="false" ht="15" hidden="false" customHeight="false" outlineLevel="0" collapsed="false">
      <c r="A343" s="7" t="n">
        <v>45638</v>
      </c>
      <c r="B343" s="8" t="n">
        <f aca="false">YEAR(A343)</f>
        <v>2024</v>
      </c>
      <c r="C343" s="8" t="n">
        <f aca="false">MONTH(A343)</f>
        <v>12</v>
      </c>
      <c r="D343" s="8" t="s">
        <v>36</v>
      </c>
      <c r="E343" s="9" t="n">
        <v>24604.4</v>
      </c>
      <c r="F343" s="10" t="n">
        <v>13.27</v>
      </c>
      <c r="G343" s="11" t="n">
        <v>120.4</v>
      </c>
      <c r="H343" s="4" t="n">
        <v>2740</v>
      </c>
      <c r="I343" s="8" t="n">
        <v>1</v>
      </c>
      <c r="J343" s="11" t="n">
        <v>116.7</v>
      </c>
      <c r="K343" s="4" t="n">
        <v>2173</v>
      </c>
      <c r="L343" s="8" t="n">
        <v>1</v>
      </c>
      <c r="M343" s="11" t="n">
        <v>111.9</v>
      </c>
      <c r="N343" s="4" t="n">
        <v>2965</v>
      </c>
      <c r="O343" s="8" t="n">
        <v>1</v>
      </c>
      <c r="P343" s="4" t="n">
        <f aca="false">H343+K343+N343</f>
        <v>7878</v>
      </c>
      <c r="Q343" s="4" t="n">
        <f aca="false">Q342+P343</f>
        <v>987059</v>
      </c>
      <c r="R343" s="4" t="n">
        <f aca="false">Q343-MAX(0,MAX($Q$2:Q343))</f>
        <v>-6362</v>
      </c>
    </row>
    <row r="344" customFormat="false" ht="15" hidden="false" customHeight="false" outlineLevel="0" collapsed="false">
      <c r="A344" s="7" t="n">
        <v>45645</v>
      </c>
      <c r="B344" s="8" t="n">
        <f aca="false">YEAR(A344)</f>
        <v>2024</v>
      </c>
      <c r="C344" s="8" t="n">
        <f aca="false">MONTH(A344)</f>
        <v>12</v>
      </c>
      <c r="D344" s="8" t="s">
        <v>36</v>
      </c>
      <c r="E344" s="9" t="n">
        <v>23877.2</v>
      </c>
      <c r="F344" s="10" t="n">
        <v>14.37</v>
      </c>
      <c r="G344" s="11" t="n">
        <v>147.5</v>
      </c>
      <c r="H344" s="4" t="n">
        <v>2574</v>
      </c>
      <c r="I344" s="8" t="n">
        <v>1</v>
      </c>
      <c r="J344" s="11" t="n">
        <v>143.9</v>
      </c>
      <c r="K344" s="4" t="n">
        <v>2992</v>
      </c>
      <c r="L344" s="8" t="n">
        <v>1</v>
      </c>
      <c r="M344" s="11" t="n">
        <v>136.6</v>
      </c>
      <c r="N344" s="4" t="n">
        <v>6641</v>
      </c>
      <c r="O344" s="8" t="n">
        <v>0</v>
      </c>
      <c r="P344" s="4" t="n">
        <f aca="false">H344+K344+N344</f>
        <v>12207</v>
      </c>
      <c r="Q344" s="4" t="n">
        <f aca="false">Q343+P344</f>
        <v>999266</v>
      </c>
      <c r="R344" s="4" t="n">
        <f aca="false">Q344-MAX(0,MAX($Q$2:Q344))</f>
        <v>0</v>
      </c>
    </row>
    <row r="345" customFormat="false" ht="15" hidden="false" customHeight="false" outlineLevel="0" collapsed="false">
      <c r="A345" s="7" t="n">
        <v>45652</v>
      </c>
      <c r="B345" s="8" t="n">
        <f aca="false">YEAR(A345)</f>
        <v>2024</v>
      </c>
      <c r="C345" s="8" t="n">
        <f aca="false">MONTH(A345)</f>
        <v>12</v>
      </c>
      <c r="D345" s="8" t="s">
        <v>36</v>
      </c>
      <c r="E345" s="9" t="n">
        <v>23775.8</v>
      </c>
      <c r="F345" s="10" t="n">
        <v>13.18</v>
      </c>
      <c r="G345" s="11" t="n">
        <v>113.5</v>
      </c>
      <c r="H345" s="4" t="n">
        <v>2750</v>
      </c>
      <c r="I345" s="8" t="n">
        <v>1</v>
      </c>
      <c r="J345" s="11" t="n">
        <v>112.2</v>
      </c>
      <c r="K345" s="4" t="n">
        <v>2631</v>
      </c>
      <c r="L345" s="8" t="n">
        <v>1</v>
      </c>
      <c r="M345" s="11" t="n">
        <v>104.5</v>
      </c>
      <c r="N345" s="4" t="n">
        <v>904</v>
      </c>
      <c r="O345" s="8" t="n">
        <v>1</v>
      </c>
      <c r="P345" s="4" t="n">
        <f aca="false">H345+K345+N345</f>
        <v>6285</v>
      </c>
      <c r="Q345" s="4" t="n">
        <f aca="false">Q344+P345</f>
        <v>1005551</v>
      </c>
      <c r="R345" s="4" t="n">
        <f aca="false">Q345-MAX(0,MAX($Q$2:Q345))</f>
        <v>0</v>
      </c>
    </row>
    <row r="346" customFormat="false" ht="15" hidden="false" customHeight="false" outlineLevel="0" collapsed="false">
      <c r="A346" s="7" t="n">
        <v>45659</v>
      </c>
      <c r="B346" s="8" t="n">
        <f aca="false">YEAR(A346)</f>
        <v>2025</v>
      </c>
      <c r="C346" s="8" t="n">
        <f aca="false">MONTH(A346)</f>
        <v>1</v>
      </c>
      <c r="D346" s="8" t="s">
        <v>36</v>
      </c>
      <c r="E346" s="9" t="n">
        <v>23783</v>
      </c>
      <c r="F346" s="10" t="n">
        <v>14.45</v>
      </c>
      <c r="G346" s="11" t="n">
        <v>197.3</v>
      </c>
      <c r="H346" s="4" t="n">
        <v>4916</v>
      </c>
      <c r="I346" s="8" t="n">
        <v>1</v>
      </c>
      <c r="J346" s="11" t="n">
        <v>191.2</v>
      </c>
      <c r="K346" s="4" t="n">
        <v>4323</v>
      </c>
      <c r="L346" s="8" t="n">
        <v>1</v>
      </c>
      <c r="M346" s="11" t="n">
        <v>183.2</v>
      </c>
      <c r="N346" s="4" t="n">
        <v>2820</v>
      </c>
      <c r="O346" s="8" t="n">
        <v>1</v>
      </c>
      <c r="P346" s="4" t="n">
        <f aca="false">H346+K346+N346</f>
        <v>12059</v>
      </c>
      <c r="Q346" s="4" t="n">
        <f aca="false">Q345+P346</f>
        <v>1017610</v>
      </c>
      <c r="R346" s="4" t="n">
        <f aca="false">Q346-MAX(0,MAX($Q$2:Q346))</f>
        <v>0</v>
      </c>
    </row>
    <row r="347" customFormat="false" ht="15" hidden="false" customHeight="false" outlineLevel="0" collapsed="false">
      <c r="A347" s="7" t="n">
        <v>45666</v>
      </c>
      <c r="B347" s="8" t="n">
        <f aca="false">YEAR(A347)</f>
        <v>2025</v>
      </c>
      <c r="C347" s="8" t="n">
        <f aca="false">MONTH(A347)</f>
        <v>1</v>
      </c>
      <c r="D347" s="8" t="s">
        <v>36</v>
      </c>
      <c r="E347" s="9" t="n">
        <v>23674.8</v>
      </c>
      <c r="F347" s="10" t="n">
        <v>14.47</v>
      </c>
      <c r="G347" s="11" t="n">
        <v>119.2</v>
      </c>
      <c r="H347" s="4" t="n">
        <v>-2664</v>
      </c>
      <c r="I347" s="8" t="n">
        <v>2</v>
      </c>
      <c r="J347" s="11" t="n">
        <v>115.7</v>
      </c>
      <c r="K347" s="4" t="n">
        <v>-2592</v>
      </c>
      <c r="L347" s="8" t="n">
        <v>2</v>
      </c>
      <c r="M347" s="11" t="n">
        <v>110.5</v>
      </c>
      <c r="N347" s="4" t="n">
        <v>1636</v>
      </c>
      <c r="O347" s="8" t="n">
        <v>1</v>
      </c>
      <c r="P347" s="4" t="n">
        <f aca="false">H347+K347+N347</f>
        <v>-3620</v>
      </c>
      <c r="Q347" s="4" t="n">
        <f aca="false">Q346+P347</f>
        <v>1013990</v>
      </c>
      <c r="R347" s="4" t="n">
        <f aca="false">Q347-MAX(0,MAX($Q$2:Q347))</f>
        <v>-3620</v>
      </c>
    </row>
    <row r="348" customFormat="false" ht="15" hidden="false" customHeight="false" outlineLevel="0" collapsed="false">
      <c r="A348" s="7" t="n">
        <v>45673</v>
      </c>
      <c r="B348" s="8" t="n">
        <f aca="false">YEAR(A348)</f>
        <v>2025</v>
      </c>
      <c r="C348" s="8" t="n">
        <f aca="false">MONTH(A348)</f>
        <v>1</v>
      </c>
      <c r="D348" s="8" t="s">
        <v>36</v>
      </c>
      <c r="E348" s="9" t="n">
        <v>23377.2</v>
      </c>
      <c r="F348" s="10" t="n">
        <v>15.26</v>
      </c>
      <c r="G348" s="11" t="n">
        <v>123.6</v>
      </c>
      <c r="H348" s="4" t="n">
        <v>1642</v>
      </c>
      <c r="I348" s="8" t="n">
        <v>1</v>
      </c>
      <c r="J348" s="11" t="n">
        <v>119</v>
      </c>
      <c r="K348" s="4" t="n">
        <v>5764</v>
      </c>
      <c r="L348" s="8" t="n">
        <v>0</v>
      </c>
      <c r="M348" s="11" t="n">
        <v>113.8</v>
      </c>
      <c r="N348" s="4" t="n">
        <v>1683</v>
      </c>
      <c r="O348" s="8" t="n">
        <v>1</v>
      </c>
      <c r="P348" s="4" t="n">
        <f aca="false">H348+K348+N348</f>
        <v>9089</v>
      </c>
      <c r="Q348" s="4" t="n">
        <f aca="false">Q347+P348</f>
        <v>1023079</v>
      </c>
      <c r="R348" s="4" t="n">
        <f aca="false">Q348-MAX(0,MAX($Q$2:Q348))</f>
        <v>0</v>
      </c>
    </row>
    <row r="349" customFormat="false" ht="15" hidden="false" customHeight="false" outlineLevel="0" collapsed="false">
      <c r="A349" s="7" t="n">
        <v>45680</v>
      </c>
      <c r="B349" s="8" t="n">
        <f aca="false">YEAR(A349)</f>
        <v>2025</v>
      </c>
      <c r="C349" s="8" t="n">
        <f aca="false">MONTH(A349)</f>
        <v>1</v>
      </c>
      <c r="D349" s="8" t="s">
        <v>36</v>
      </c>
      <c r="E349" s="9" t="n">
        <v>23128.3</v>
      </c>
      <c r="F349" s="10" t="n">
        <v>16.77</v>
      </c>
      <c r="G349" s="11" t="n">
        <v>109.9</v>
      </c>
      <c r="H349" s="4" t="n">
        <v>1460</v>
      </c>
      <c r="I349" s="8" t="n">
        <v>1</v>
      </c>
      <c r="J349" s="11" t="n">
        <v>107.9</v>
      </c>
      <c r="K349" s="4" t="n">
        <v>663</v>
      </c>
      <c r="L349" s="8" t="n">
        <v>1</v>
      </c>
      <c r="M349" s="11" t="n">
        <v>101.9</v>
      </c>
      <c r="N349" s="4" t="n">
        <v>1832</v>
      </c>
      <c r="O349" s="8" t="n">
        <v>1</v>
      </c>
      <c r="P349" s="4" t="n">
        <f aca="false">H349+K349+N349</f>
        <v>3955</v>
      </c>
      <c r="Q349" s="4" t="n">
        <f aca="false">Q348+P349</f>
        <v>1027034</v>
      </c>
      <c r="R349" s="4" t="n">
        <f aca="false">Q349-MAX(0,MAX($Q$2:Q349))</f>
        <v>0</v>
      </c>
    </row>
    <row r="350" customFormat="false" ht="15" hidden="false" customHeight="false" outlineLevel="0" collapsed="false">
      <c r="A350" s="7" t="n">
        <v>45687</v>
      </c>
      <c r="B350" s="8" t="n">
        <f aca="false">YEAR(A350)</f>
        <v>2025</v>
      </c>
      <c r="C350" s="8" t="n">
        <f aca="false">MONTH(A350)</f>
        <v>1</v>
      </c>
      <c r="D350" s="8" t="s">
        <v>36</v>
      </c>
      <c r="E350" s="9" t="n">
        <v>23169.5</v>
      </c>
      <c r="F350" s="10" t="n">
        <v>18.64</v>
      </c>
      <c r="G350" s="11" t="n">
        <v>216.4</v>
      </c>
      <c r="H350" s="4" t="n">
        <v>3774</v>
      </c>
      <c r="I350" s="8" t="n">
        <v>1</v>
      </c>
      <c r="J350" s="11" t="n">
        <v>210.3</v>
      </c>
      <c r="K350" s="4" t="n">
        <v>2983</v>
      </c>
      <c r="L350" s="8" t="n">
        <v>1</v>
      </c>
      <c r="M350" s="11" t="n">
        <v>200.8</v>
      </c>
      <c r="N350" s="4" t="n">
        <v>3641</v>
      </c>
      <c r="O350" s="8" t="n">
        <v>1</v>
      </c>
      <c r="P350" s="4" t="n">
        <f aca="false">H350+K350+N350</f>
        <v>10398</v>
      </c>
      <c r="Q350" s="4" t="n">
        <f aca="false">Q349+P350</f>
        <v>1037432</v>
      </c>
      <c r="R350" s="4" t="n">
        <f aca="false">Q350-MAX(0,MAX($Q$2:Q350))</f>
        <v>0</v>
      </c>
    </row>
    <row r="351" customFormat="false" ht="15" hidden="false" customHeight="false" outlineLevel="0" collapsed="false">
      <c r="A351" s="7" t="n">
        <v>45694</v>
      </c>
      <c r="B351" s="8" t="n">
        <f aca="false">YEAR(A351)</f>
        <v>2025</v>
      </c>
      <c r="C351" s="8" t="n">
        <f aca="false">MONTH(A351)</f>
        <v>2</v>
      </c>
      <c r="D351" s="8" t="s">
        <v>36</v>
      </c>
      <c r="E351" s="9" t="n">
        <v>23762</v>
      </c>
      <c r="F351" s="10" t="n">
        <v>14.08</v>
      </c>
      <c r="G351" s="11" t="n">
        <v>133.1</v>
      </c>
      <c r="H351" s="4" t="n">
        <v>3392</v>
      </c>
      <c r="I351" s="8" t="n">
        <v>1</v>
      </c>
      <c r="J351" s="11" t="n">
        <v>128.5</v>
      </c>
      <c r="K351" s="4" t="n">
        <v>2832</v>
      </c>
      <c r="L351" s="8" t="n">
        <v>1</v>
      </c>
      <c r="M351" s="11" t="n">
        <v>122.7</v>
      </c>
      <c r="N351" s="4" t="n">
        <v>1970</v>
      </c>
      <c r="O351" s="8" t="n">
        <v>1</v>
      </c>
      <c r="P351" s="4" t="n">
        <f aca="false">H351+K351+N351</f>
        <v>8194</v>
      </c>
      <c r="Q351" s="4" t="n">
        <f aca="false">Q350+P351</f>
        <v>1045626</v>
      </c>
      <c r="R351" s="4" t="n">
        <f aca="false">Q351-MAX(0,MAX($Q$2:Q351))</f>
        <v>0</v>
      </c>
    </row>
    <row r="352" customFormat="false" ht="15" hidden="false" customHeight="false" outlineLevel="0" collapsed="false">
      <c r="A352" s="7" t="n">
        <v>45701</v>
      </c>
      <c r="B352" s="8" t="n">
        <f aca="false">YEAR(A352)</f>
        <v>2025</v>
      </c>
      <c r="C352" s="8" t="n">
        <f aca="false">MONTH(A352)</f>
        <v>2</v>
      </c>
      <c r="D352" s="8" t="s">
        <v>36</v>
      </c>
      <c r="E352" s="9" t="n">
        <v>23055.8</v>
      </c>
      <c r="F352" s="10" t="n">
        <v>14.9</v>
      </c>
      <c r="G352" s="11" t="n">
        <v>162.4</v>
      </c>
      <c r="H352" s="4" t="n">
        <v>-3548</v>
      </c>
      <c r="I352" s="8" t="n">
        <v>2</v>
      </c>
      <c r="J352" s="11" t="n">
        <v>157</v>
      </c>
      <c r="K352" s="4" t="n">
        <v>2907</v>
      </c>
      <c r="L352" s="8" t="n">
        <v>1</v>
      </c>
      <c r="M352" s="11" t="n">
        <v>150.6</v>
      </c>
      <c r="N352" s="4" t="n">
        <v>-3307</v>
      </c>
      <c r="O352" s="8" t="n">
        <v>2</v>
      </c>
      <c r="P352" s="4" t="n">
        <f aca="false">H352+K352+N352</f>
        <v>-3948</v>
      </c>
      <c r="Q352" s="4" t="n">
        <f aca="false">Q351+P352</f>
        <v>1041678</v>
      </c>
      <c r="R352" s="4" t="n">
        <f aca="false">Q352-MAX(0,MAX($Q$2:Q352))</f>
        <v>-3948</v>
      </c>
    </row>
    <row r="353" customFormat="false" ht="15" hidden="false" customHeight="false" outlineLevel="0" collapsed="false">
      <c r="A353" s="7" t="n">
        <v>45708</v>
      </c>
      <c r="B353" s="8" t="n">
        <f aca="false">YEAR(A353)</f>
        <v>2025</v>
      </c>
      <c r="C353" s="8" t="n">
        <f aca="false">MONTH(A353)</f>
        <v>2</v>
      </c>
      <c r="D353" s="8" t="s">
        <v>36</v>
      </c>
      <c r="E353" s="9" t="n">
        <v>22821.1</v>
      </c>
      <c r="F353" s="10" t="n">
        <v>15.42</v>
      </c>
      <c r="G353" s="11" t="n">
        <v>157.1</v>
      </c>
      <c r="H353" s="4" t="n">
        <v>1009</v>
      </c>
      <c r="I353" s="8" t="n">
        <v>1</v>
      </c>
      <c r="J353" s="11" t="n">
        <v>153.7</v>
      </c>
      <c r="K353" s="4" t="n">
        <v>5316</v>
      </c>
      <c r="L353" s="8" t="n">
        <v>0</v>
      </c>
      <c r="M353" s="11" t="n">
        <v>145</v>
      </c>
      <c r="N353" s="4" t="n">
        <v>6891</v>
      </c>
      <c r="O353" s="8" t="n">
        <v>0</v>
      </c>
      <c r="P353" s="4" t="n">
        <f aca="false">H353+K353+N353</f>
        <v>13216</v>
      </c>
      <c r="Q353" s="4" t="n">
        <f aca="false">Q352+P353</f>
        <v>1054894</v>
      </c>
      <c r="R353" s="4" t="n">
        <f aca="false">Q353-MAX(0,MAX($Q$2:Q353))</f>
        <v>0</v>
      </c>
    </row>
    <row r="354" customFormat="false" ht="15" hidden="false" customHeight="false" outlineLevel="0" collapsed="false">
      <c r="A354" s="7" t="n">
        <v>45715</v>
      </c>
      <c r="B354" s="8" t="n">
        <f aca="false">YEAR(A354)</f>
        <v>2025</v>
      </c>
      <c r="C354" s="8" t="n">
        <f aca="false">MONTH(A354)</f>
        <v>2</v>
      </c>
      <c r="D354" s="8" t="s">
        <v>36</v>
      </c>
      <c r="E354" s="9" t="n">
        <v>22569</v>
      </c>
      <c r="F354" s="10" t="n">
        <v>13.72</v>
      </c>
      <c r="G354" s="11" t="n">
        <v>103.4</v>
      </c>
      <c r="H354" s="4" t="n">
        <v>2259</v>
      </c>
      <c r="I354" s="8" t="n">
        <v>1</v>
      </c>
      <c r="J354" s="11" t="n">
        <v>99.7</v>
      </c>
      <c r="K354" s="4" t="n">
        <v>4803</v>
      </c>
      <c r="L354" s="8" t="n">
        <v>0</v>
      </c>
      <c r="M354" s="11" t="n">
        <v>94.9</v>
      </c>
      <c r="N354" s="4" t="n">
        <v>4493</v>
      </c>
      <c r="O354" s="8" t="n">
        <v>0</v>
      </c>
      <c r="P354" s="4" t="n">
        <f aca="false">H354+K354+N354</f>
        <v>11555</v>
      </c>
      <c r="Q354" s="4" t="n">
        <f aca="false">Q353+P354</f>
        <v>1066449</v>
      </c>
      <c r="R354" s="4" t="n">
        <f aca="false">Q354-MAX(0,MAX($Q$2:Q354))</f>
        <v>0</v>
      </c>
    </row>
    <row r="355" customFormat="false" ht="15" hidden="false" customHeight="false" outlineLevel="0" collapsed="false">
      <c r="A355" s="7" t="n">
        <v>45722</v>
      </c>
      <c r="B355" s="8" t="n">
        <f aca="false">YEAR(A355)</f>
        <v>2025</v>
      </c>
      <c r="C355" s="8" t="n">
        <f aca="false">MONTH(A355)</f>
        <v>3</v>
      </c>
      <c r="D355" s="8" t="s">
        <v>36</v>
      </c>
      <c r="E355" s="9" t="n">
        <v>22476.4</v>
      </c>
      <c r="F355" s="10" t="n">
        <v>13.67</v>
      </c>
      <c r="G355" s="11" t="n">
        <v>125.6</v>
      </c>
      <c r="H355" s="4" t="n">
        <v>-2795</v>
      </c>
      <c r="I355" s="8" t="n">
        <v>2</v>
      </c>
      <c r="J355" s="11" t="n">
        <v>122.8</v>
      </c>
      <c r="K355" s="4" t="n">
        <v>1341</v>
      </c>
      <c r="L355" s="8" t="n">
        <v>1</v>
      </c>
      <c r="M355" s="11" t="n">
        <v>115.7</v>
      </c>
      <c r="N355" s="4" t="n">
        <v>1848</v>
      </c>
      <c r="O355" s="8" t="n">
        <v>1</v>
      </c>
      <c r="P355" s="4" t="n">
        <f aca="false">H355+K355+N355</f>
        <v>394</v>
      </c>
      <c r="Q355" s="4" t="n">
        <f aca="false">Q354+P355</f>
        <v>1066843</v>
      </c>
      <c r="R355" s="4" t="n">
        <f aca="false">Q355-MAX(0,MAX($Q$2:Q355))</f>
        <v>0</v>
      </c>
    </row>
    <row r="356" customFormat="false" ht="15" hidden="false" customHeight="false" outlineLevel="0" collapsed="false">
      <c r="A356" s="7" t="n">
        <v>45729</v>
      </c>
      <c r="B356" s="8" t="n">
        <f aca="false">YEAR(A356)</f>
        <v>2025</v>
      </c>
      <c r="C356" s="8" t="n">
        <f aca="false">MONTH(A356)</f>
        <v>3</v>
      </c>
      <c r="D356" s="8" t="s">
        <v>36</v>
      </c>
      <c r="E356" s="9" t="n">
        <v>22541.5</v>
      </c>
      <c r="F356" s="10" t="n">
        <v>13.69</v>
      </c>
      <c r="G356" s="11" t="n">
        <v>119.1</v>
      </c>
      <c r="H356" s="4" t="n">
        <v>-2662</v>
      </c>
      <c r="I356" s="8" t="n">
        <v>2</v>
      </c>
      <c r="J356" s="11" t="n">
        <v>115.9</v>
      </c>
      <c r="K356" s="4" t="n">
        <v>2107</v>
      </c>
      <c r="L356" s="8" t="n">
        <v>1</v>
      </c>
      <c r="M356" s="11" t="n">
        <v>110.5</v>
      </c>
      <c r="N356" s="4" t="n">
        <v>1884</v>
      </c>
      <c r="O356" s="8" t="n">
        <v>1</v>
      </c>
      <c r="P356" s="4" t="n">
        <f aca="false">H356+K356+N356</f>
        <v>1329</v>
      </c>
      <c r="Q356" s="4" t="n">
        <f aca="false">Q355+P356</f>
        <v>1068172</v>
      </c>
      <c r="R356" s="4" t="n">
        <f aca="false">Q356-MAX(0,MAX($Q$2:Q356))</f>
        <v>0</v>
      </c>
    </row>
    <row r="357" customFormat="false" ht="15" hidden="false" customHeight="false" outlineLevel="0" collapsed="false">
      <c r="A357" s="7" t="n">
        <v>45736</v>
      </c>
      <c r="B357" s="8" t="n">
        <f aca="false">YEAR(A357)</f>
        <v>2025</v>
      </c>
      <c r="C357" s="8" t="n">
        <f aca="false">MONTH(A357)</f>
        <v>3</v>
      </c>
      <c r="D357" s="8" t="s">
        <v>36</v>
      </c>
      <c r="E357" s="9" t="n">
        <v>23036.6</v>
      </c>
      <c r="F357" s="10" t="n">
        <v>13.3</v>
      </c>
      <c r="G357" s="11" t="n">
        <v>120</v>
      </c>
      <c r="H357" s="4" t="n">
        <v>-2681</v>
      </c>
      <c r="I357" s="8" t="n">
        <v>2</v>
      </c>
      <c r="J357" s="11" t="n">
        <v>116.3</v>
      </c>
      <c r="K357" s="4" t="n">
        <v>-2604</v>
      </c>
      <c r="L357" s="8" t="n">
        <v>2</v>
      </c>
      <c r="M357" s="11" t="n">
        <v>110.8</v>
      </c>
      <c r="N357" s="4" t="n">
        <v>2040</v>
      </c>
      <c r="O357" s="8" t="n">
        <v>1</v>
      </c>
      <c r="P357" s="4" t="n">
        <f aca="false">H357+K357+N357</f>
        <v>-3245</v>
      </c>
      <c r="Q357" s="4" t="n">
        <f aca="false">Q356+P357</f>
        <v>1064927</v>
      </c>
      <c r="R357" s="4" t="n">
        <f aca="false">Q357-MAX(0,MAX($Q$2:Q357))</f>
        <v>-3245</v>
      </c>
    </row>
    <row r="358" customFormat="false" ht="15" hidden="false" customHeight="false" outlineLevel="0" collapsed="false">
      <c r="A358" s="7" t="n">
        <v>45743</v>
      </c>
      <c r="B358" s="8" t="n">
        <f aca="false">YEAR(A358)</f>
        <v>2025</v>
      </c>
      <c r="C358" s="8" t="n">
        <f aca="false">MONTH(A358)</f>
        <v>3</v>
      </c>
      <c r="D358" s="8" t="s">
        <v>36</v>
      </c>
      <c r="E358" s="9" t="n">
        <v>23434</v>
      </c>
      <c r="F358" s="10" t="n">
        <v>13.47</v>
      </c>
      <c r="G358" s="11" t="n">
        <v>143.1</v>
      </c>
      <c r="H358" s="4" t="n">
        <v>2385</v>
      </c>
      <c r="I358" s="8" t="n">
        <v>1</v>
      </c>
      <c r="J358" s="11" t="n">
        <v>139</v>
      </c>
      <c r="K358" s="4" t="n">
        <v>6779</v>
      </c>
      <c r="L358" s="8" t="n">
        <v>0</v>
      </c>
      <c r="M358" s="11" t="n">
        <v>132.4</v>
      </c>
      <c r="N358" s="4" t="n">
        <v>6352</v>
      </c>
      <c r="O358" s="8" t="n">
        <v>0</v>
      </c>
      <c r="P358" s="4" t="n">
        <f aca="false">H358+K358+N358</f>
        <v>15516</v>
      </c>
      <c r="Q358" s="4" t="n">
        <f aca="false">Q357+P358</f>
        <v>1080443</v>
      </c>
      <c r="R358" s="4" t="n">
        <f aca="false">Q358-MAX(0,MAX($Q$2:Q358))</f>
        <v>0</v>
      </c>
    </row>
    <row r="359" customFormat="false" ht="15" hidden="false" customHeight="false" outlineLevel="0" collapsed="false">
      <c r="A359" s="7" t="n">
        <v>45750</v>
      </c>
      <c r="B359" s="8" t="n">
        <f aca="false">YEAR(A359)</f>
        <v>2025</v>
      </c>
      <c r="C359" s="8" t="n">
        <f aca="false">MONTH(A359)</f>
        <v>4</v>
      </c>
      <c r="D359" s="8" t="s">
        <v>36</v>
      </c>
      <c r="E359" s="9" t="n">
        <v>23150.3</v>
      </c>
      <c r="F359" s="10" t="n">
        <v>13.72</v>
      </c>
      <c r="G359" s="11" t="n">
        <v>141.3</v>
      </c>
      <c r="H359" s="4" t="n">
        <v>2106</v>
      </c>
      <c r="I359" s="8" t="n">
        <v>1</v>
      </c>
      <c r="J359" s="11" t="n">
        <v>137.2</v>
      </c>
      <c r="K359" s="4" t="n">
        <v>1745</v>
      </c>
      <c r="L359" s="8" t="n">
        <v>1</v>
      </c>
      <c r="M359" s="11" t="n">
        <v>130.9</v>
      </c>
      <c r="N359" s="4" t="n">
        <v>2608</v>
      </c>
      <c r="O359" s="8" t="n">
        <v>1</v>
      </c>
      <c r="P359" s="4" t="n">
        <f aca="false">H359+K359+N359</f>
        <v>6459</v>
      </c>
      <c r="Q359" s="4" t="n">
        <f aca="false">Q358+P359</f>
        <v>1086902</v>
      </c>
      <c r="R359" s="4" t="n">
        <f aca="false">Q359-MAX(0,MAX($Q$2:Q359))</f>
        <v>0</v>
      </c>
    </row>
    <row r="360" customFormat="false" ht="15" hidden="false" customHeight="false" outlineLevel="0" collapsed="false">
      <c r="A360" s="7" t="n">
        <v>45756</v>
      </c>
      <c r="B360" s="8" t="n">
        <f aca="false">YEAR(A360)</f>
        <v>2025</v>
      </c>
      <c r="C360" s="8" t="n">
        <f aca="false">MONTH(A360)</f>
        <v>4</v>
      </c>
      <c r="D360" s="8" t="s">
        <v>37</v>
      </c>
      <c r="E360" s="9" t="n">
        <v>22460.3</v>
      </c>
      <c r="F360" s="10" t="n">
        <v>20.44</v>
      </c>
      <c r="G360" s="11" t="n">
        <v>308.8</v>
      </c>
      <c r="H360" s="4" t="n">
        <v>6742</v>
      </c>
      <c r="I360" s="8" t="n">
        <v>1</v>
      </c>
      <c r="J360" s="11" t="n">
        <v>299.1</v>
      </c>
      <c r="K360" s="4" t="n">
        <v>14324</v>
      </c>
      <c r="L360" s="8" t="n">
        <v>0</v>
      </c>
      <c r="M360" s="11" t="n">
        <v>284.4</v>
      </c>
      <c r="N360" s="4" t="n">
        <v>14062</v>
      </c>
      <c r="O360" s="8" t="n">
        <v>0</v>
      </c>
      <c r="P360" s="4" t="n">
        <f aca="false">H360+K360+N360</f>
        <v>35128</v>
      </c>
      <c r="Q360" s="4" t="n">
        <f aca="false">Q359+P360</f>
        <v>1122030</v>
      </c>
      <c r="R360" s="4" t="n">
        <f aca="false">Q360-MAX(0,MAX($Q$2:Q360))</f>
        <v>0</v>
      </c>
    </row>
    <row r="361" customFormat="false" ht="15" hidden="false" customHeight="false" outlineLevel="0" collapsed="false">
      <c r="A361" s="7" t="n">
        <v>45764</v>
      </c>
      <c r="B361" s="8" t="n">
        <f aca="false">YEAR(A361)</f>
        <v>2025</v>
      </c>
      <c r="C361" s="8" t="n">
        <f aca="false">MONTH(A361)</f>
        <v>4</v>
      </c>
      <c r="D361" s="8" t="s">
        <v>36</v>
      </c>
      <c r="E361" s="9" t="n">
        <v>23401.8</v>
      </c>
      <c r="F361" s="10" t="n">
        <v>15.87</v>
      </c>
      <c r="G361" s="11" t="n">
        <v>141.4</v>
      </c>
      <c r="H361" s="4" t="n">
        <v>-3118</v>
      </c>
      <c r="I361" s="8" t="n">
        <v>2</v>
      </c>
      <c r="J361" s="11" t="n">
        <v>137.3</v>
      </c>
      <c r="K361" s="4" t="n">
        <v>-3034</v>
      </c>
      <c r="L361" s="8" t="n">
        <v>2</v>
      </c>
      <c r="M361" s="11" t="n">
        <v>131</v>
      </c>
      <c r="N361" s="4" t="n">
        <v>2192</v>
      </c>
      <c r="O361" s="8" t="n">
        <v>1</v>
      </c>
      <c r="P361" s="4" t="n">
        <f aca="false">H361+K361+N361</f>
        <v>-3960</v>
      </c>
      <c r="Q361" s="4" t="n">
        <f aca="false">Q360+P361</f>
        <v>1118070</v>
      </c>
      <c r="R361" s="4" t="n">
        <f aca="false">Q361-MAX(0,MAX($Q$2:Q361))</f>
        <v>-3960</v>
      </c>
    </row>
    <row r="362" customFormat="false" ht="15" hidden="false" customHeight="false" outlineLevel="0" collapsed="false">
      <c r="A362" s="7" t="n">
        <v>45771</v>
      </c>
      <c r="B362" s="8" t="n">
        <f aca="false">YEAR(A362)</f>
        <v>2025</v>
      </c>
      <c r="C362" s="8" t="n">
        <f aca="false">MONTH(A362)</f>
        <v>4</v>
      </c>
      <c r="D362" s="8" t="s">
        <v>36</v>
      </c>
      <c r="E362" s="9" t="n">
        <v>24277.9</v>
      </c>
      <c r="F362" s="10" t="n">
        <v>15.96</v>
      </c>
      <c r="G362" s="11" t="n">
        <v>106.5</v>
      </c>
      <c r="H362" s="4" t="n">
        <v>664</v>
      </c>
      <c r="I362" s="8" t="n">
        <v>1</v>
      </c>
      <c r="J362" s="11" t="n">
        <v>103.5</v>
      </c>
      <c r="K362" s="4" t="n">
        <v>547</v>
      </c>
      <c r="L362" s="8" t="n">
        <v>1</v>
      </c>
      <c r="M362" s="11" t="n">
        <v>97.7</v>
      </c>
      <c r="N362" s="4" t="n">
        <v>1648</v>
      </c>
      <c r="O362" s="8" t="n">
        <v>1</v>
      </c>
      <c r="P362" s="4" t="n">
        <f aca="false">H362+K362+N362</f>
        <v>2859</v>
      </c>
      <c r="Q362" s="4" t="n">
        <f aca="false">Q361+P362</f>
        <v>1120929</v>
      </c>
      <c r="R362" s="4" t="n">
        <f aca="false">Q362-MAX(0,MAX($Q$2:Q362))</f>
        <v>-1101</v>
      </c>
    </row>
    <row r="363" customFormat="false" ht="15" hidden="false" customHeight="false" outlineLevel="0" collapsed="false">
      <c r="A363" s="7" t="n">
        <v>45777</v>
      </c>
      <c r="B363" s="8" t="n">
        <f aca="false">YEAR(A363)</f>
        <v>2025</v>
      </c>
      <c r="C363" s="8" t="n">
        <f aca="false">MONTH(A363)</f>
        <v>4</v>
      </c>
      <c r="D363" s="8" t="s">
        <v>37</v>
      </c>
      <c r="E363" s="9" t="n">
        <v>24342</v>
      </c>
      <c r="F363" s="10" t="n">
        <v>17.37</v>
      </c>
      <c r="G363" s="11" t="n">
        <v>103</v>
      </c>
      <c r="H363" s="4" t="n">
        <v>-2332</v>
      </c>
      <c r="I363" s="8" t="n">
        <v>2</v>
      </c>
      <c r="J363" s="11" t="n">
        <v>100.2</v>
      </c>
      <c r="K363" s="4" t="n">
        <v>1723</v>
      </c>
      <c r="L363" s="8" t="n">
        <v>1</v>
      </c>
      <c r="M363" s="11" t="n">
        <v>95.9</v>
      </c>
      <c r="N363" s="4" t="n">
        <v>1193</v>
      </c>
      <c r="O363" s="8" t="n">
        <v>1</v>
      </c>
      <c r="P363" s="4" t="n">
        <f aca="false">H363+K363+N363</f>
        <v>584</v>
      </c>
      <c r="Q363" s="4" t="n">
        <f aca="false">Q362+P363</f>
        <v>1121513</v>
      </c>
      <c r="R363" s="4" t="n">
        <f aca="false">Q363-MAX(0,MAX($Q$2:Q363))</f>
        <v>-517</v>
      </c>
    </row>
    <row r="364" customFormat="false" ht="15" hidden="false" customHeight="false" outlineLevel="0" collapsed="false">
      <c r="A364" s="7" t="n">
        <v>45785</v>
      </c>
      <c r="B364" s="8" t="n">
        <f aca="false">YEAR(A364)</f>
        <v>2025</v>
      </c>
      <c r="C364" s="8" t="n">
        <f aca="false">MONTH(A364)</f>
        <v>5</v>
      </c>
      <c r="D364" s="8" t="s">
        <v>36</v>
      </c>
      <c r="E364" s="9" t="n">
        <v>24431.5</v>
      </c>
      <c r="F364" s="10" t="n">
        <v>19.06</v>
      </c>
      <c r="G364" s="11" t="n">
        <v>117.4</v>
      </c>
      <c r="H364" s="4" t="n">
        <v>2285</v>
      </c>
      <c r="I364" s="8" t="n">
        <v>1</v>
      </c>
      <c r="J364" s="11" t="n">
        <v>114</v>
      </c>
      <c r="K364" s="4" t="n">
        <v>2522</v>
      </c>
      <c r="L364" s="8" t="n">
        <v>1</v>
      </c>
      <c r="M364" s="11" t="n">
        <v>109</v>
      </c>
      <c r="N364" s="4" t="n">
        <v>2718</v>
      </c>
      <c r="O364" s="8" t="n">
        <v>1</v>
      </c>
      <c r="P364" s="4" t="n">
        <f aca="false">H364+K364+N364</f>
        <v>7525</v>
      </c>
      <c r="Q364" s="4" t="n">
        <f aca="false">Q363+P364</f>
        <v>1129038</v>
      </c>
      <c r="R364" s="4" t="n">
        <f aca="false">Q364-MAX(0,MAX($Q$2:Q364))</f>
        <v>0</v>
      </c>
    </row>
    <row r="365" customFormat="false" ht="15" hidden="false" customHeight="false" outlineLevel="0" collapsed="false">
      <c r="A365" s="7" t="n">
        <v>45792</v>
      </c>
      <c r="B365" s="8" t="n">
        <f aca="false">YEAR(A365)</f>
        <v>2025</v>
      </c>
      <c r="C365" s="8" t="n">
        <f aca="false">MONTH(A365)</f>
        <v>5</v>
      </c>
      <c r="D365" s="8" t="s">
        <v>36</v>
      </c>
      <c r="E365" s="9" t="n">
        <v>24694.4</v>
      </c>
      <c r="F365" s="10" t="n">
        <v>17.23</v>
      </c>
      <c r="G365" s="11" t="n">
        <v>163.1</v>
      </c>
      <c r="H365" s="4" t="n">
        <v>-3564</v>
      </c>
      <c r="I365" s="8" t="n">
        <v>2</v>
      </c>
      <c r="J365" s="11" t="n">
        <v>158.3</v>
      </c>
      <c r="K365" s="4" t="n">
        <v>3381</v>
      </c>
      <c r="L365" s="8" t="n">
        <v>1</v>
      </c>
      <c r="M365" s="11" t="n">
        <v>152.6</v>
      </c>
      <c r="N365" s="4" t="n">
        <v>2066</v>
      </c>
      <c r="O365" s="8" t="n">
        <v>1</v>
      </c>
      <c r="P365" s="4" t="n">
        <f aca="false">H365+K365+N365</f>
        <v>1883</v>
      </c>
      <c r="Q365" s="4" t="n">
        <f aca="false">Q364+P365</f>
        <v>1130921</v>
      </c>
      <c r="R365" s="4" t="n">
        <f aca="false">Q365-MAX(0,MAX($Q$2:Q365))</f>
        <v>0</v>
      </c>
    </row>
    <row r="366" customFormat="false" ht="15" hidden="false" customHeight="false" outlineLevel="0" collapsed="false">
      <c r="A366" s="7" t="n">
        <v>45799</v>
      </c>
      <c r="B366" s="8" t="n">
        <f aca="false">YEAR(A366)</f>
        <v>2025</v>
      </c>
      <c r="C366" s="8" t="n">
        <f aca="false">MONTH(A366)</f>
        <v>5</v>
      </c>
      <c r="D366" s="8" t="s">
        <v>36</v>
      </c>
      <c r="E366" s="9" t="n">
        <v>24734</v>
      </c>
      <c r="F366" s="10" t="n">
        <v>17.55</v>
      </c>
      <c r="G366" s="11" t="n">
        <v>218.1</v>
      </c>
      <c r="H366" s="4" t="n">
        <v>10954</v>
      </c>
      <c r="I366" s="8" t="n">
        <v>0</v>
      </c>
      <c r="J366" s="11" t="n">
        <v>211.9</v>
      </c>
      <c r="K366" s="4" t="n">
        <v>3276</v>
      </c>
      <c r="L366" s="8" t="n">
        <v>1</v>
      </c>
      <c r="M366" s="11" t="n">
        <v>201.7</v>
      </c>
      <c r="N366" s="4" t="n">
        <v>2770</v>
      </c>
      <c r="O366" s="8" t="n">
        <v>1</v>
      </c>
      <c r="P366" s="4" t="n">
        <f aca="false">H366+K366+N366</f>
        <v>17000</v>
      </c>
      <c r="Q366" s="4" t="n">
        <f aca="false">Q365+P366</f>
        <v>1147921</v>
      </c>
      <c r="R366" s="4" t="n">
        <f aca="false">Q366-MAX(0,MAX($Q$2:Q366))</f>
        <v>0</v>
      </c>
    </row>
    <row r="367" customFormat="false" ht="15" hidden="false" customHeight="false" outlineLevel="0" collapsed="false">
      <c r="A367" s="7" t="n">
        <v>45806</v>
      </c>
      <c r="B367" s="8" t="n">
        <f aca="false">YEAR(A367)</f>
        <v>2025</v>
      </c>
      <c r="C367" s="8" t="n">
        <f aca="false">MONTH(A367)</f>
        <v>5</v>
      </c>
      <c r="D367" s="8" t="s">
        <v>36</v>
      </c>
      <c r="E367" s="9" t="n">
        <v>24825.1</v>
      </c>
      <c r="F367" s="10" t="n">
        <v>18.02</v>
      </c>
      <c r="G367" s="11" t="n">
        <v>215.4</v>
      </c>
      <c r="H367" s="4" t="n">
        <v>1513</v>
      </c>
      <c r="I367" s="8" t="n">
        <v>1</v>
      </c>
      <c r="J367" s="11" t="n">
        <v>209.7</v>
      </c>
      <c r="K367" s="4" t="n">
        <v>1805</v>
      </c>
      <c r="L367" s="8" t="n">
        <v>1</v>
      </c>
      <c r="M367" s="11" t="n">
        <v>198.7</v>
      </c>
      <c r="N367" s="4" t="n">
        <v>6002</v>
      </c>
      <c r="O367" s="8" t="n">
        <v>0</v>
      </c>
      <c r="P367" s="4" t="n">
        <f aca="false">H367+K367+N367</f>
        <v>9320</v>
      </c>
      <c r="Q367" s="4" t="n">
        <f aca="false">Q366+P367</f>
        <v>1157241</v>
      </c>
      <c r="R367" s="4" t="n">
        <f aca="false">Q367-MAX(0,MAX($Q$2:Q367))</f>
        <v>0</v>
      </c>
    </row>
    <row r="368" customFormat="false" ht="15" hidden="false" customHeight="false" outlineLevel="0" collapsed="false">
      <c r="A368" s="7" t="n">
        <v>45813</v>
      </c>
      <c r="B368" s="8" t="n">
        <f aca="false">YEAR(A368)</f>
        <v>2025</v>
      </c>
      <c r="C368" s="8" t="n">
        <f aca="false">MONTH(A368)</f>
        <v>6</v>
      </c>
      <c r="D368" s="8" t="s">
        <v>36</v>
      </c>
      <c r="E368" s="9" t="n">
        <v>24691.2</v>
      </c>
      <c r="F368" s="10" t="n">
        <v>15.75</v>
      </c>
      <c r="G368" s="11" t="n">
        <v>158.4</v>
      </c>
      <c r="H368" s="4" t="n">
        <v>-3467</v>
      </c>
      <c r="I368" s="8" t="n">
        <v>2</v>
      </c>
      <c r="J368" s="11" t="n">
        <v>153.8</v>
      </c>
      <c r="K368" s="4" t="n">
        <v>-3372</v>
      </c>
      <c r="L368" s="8" t="n">
        <v>2</v>
      </c>
      <c r="M368" s="11" t="n">
        <v>147.8</v>
      </c>
      <c r="N368" s="4" t="n">
        <v>1779</v>
      </c>
      <c r="O368" s="8" t="n">
        <v>1</v>
      </c>
      <c r="P368" s="4" t="n">
        <f aca="false">H368+K368+N368</f>
        <v>-5060</v>
      </c>
      <c r="Q368" s="4" t="n">
        <f aca="false">Q367+P368</f>
        <v>1152181</v>
      </c>
      <c r="R368" s="4" t="n">
        <f aca="false">Q368-MAX(0,MAX($Q$2:Q368))</f>
        <v>-5060</v>
      </c>
    </row>
    <row r="369" customFormat="false" ht="15" hidden="false" customHeight="false" outlineLevel="0" collapsed="false">
      <c r="A369" s="7" t="n">
        <v>45820</v>
      </c>
      <c r="B369" s="8" t="n">
        <f aca="false">YEAR(A369)</f>
        <v>2025</v>
      </c>
      <c r="C369" s="8" t="n">
        <f aca="false">MONTH(A369)</f>
        <v>6</v>
      </c>
      <c r="D369" s="8" t="s">
        <v>36</v>
      </c>
      <c r="E369" s="9" t="n">
        <v>25164.4</v>
      </c>
      <c r="F369" s="10" t="n">
        <v>13.67</v>
      </c>
      <c r="G369" s="11" t="n">
        <v>137</v>
      </c>
      <c r="H369" s="4" t="n">
        <v>3221</v>
      </c>
      <c r="I369" s="8" t="n">
        <v>1</v>
      </c>
      <c r="J369" s="11" t="n">
        <v>133.4</v>
      </c>
      <c r="K369" s="4" t="n">
        <v>2030</v>
      </c>
      <c r="L369" s="8" t="n">
        <v>1</v>
      </c>
      <c r="M369" s="11" t="n">
        <v>126.5</v>
      </c>
      <c r="N369" s="4" t="n">
        <v>2622</v>
      </c>
      <c r="O369" s="8" t="n">
        <v>1</v>
      </c>
      <c r="P369" s="4" t="n">
        <f aca="false">H369+K369+N369</f>
        <v>7873</v>
      </c>
      <c r="Q369" s="4" t="n">
        <f aca="false">Q368+P369</f>
        <v>1160054</v>
      </c>
      <c r="R369" s="4" t="n">
        <f aca="false">Q369-MAX(0,MAX($Q$2:Q369))</f>
        <v>0</v>
      </c>
    </row>
    <row r="370" customFormat="false" ht="15" hidden="false" customHeight="false" outlineLevel="0" collapsed="false">
      <c r="A370" s="7" t="n">
        <v>45827</v>
      </c>
      <c r="B370" s="8" t="n">
        <f aca="false">YEAR(A370)</f>
        <v>2025</v>
      </c>
      <c r="C370" s="8" t="n">
        <f aca="false">MONTH(A370)</f>
        <v>6</v>
      </c>
      <c r="D370" s="8" t="s">
        <v>36</v>
      </c>
      <c r="E370" s="9" t="n">
        <v>24803.2</v>
      </c>
      <c r="F370" s="10" t="n">
        <v>14.28</v>
      </c>
      <c r="G370" s="11" t="n">
        <v>110.3</v>
      </c>
      <c r="H370" s="4" t="n">
        <v>2066</v>
      </c>
      <c r="I370" s="8" t="n">
        <v>1</v>
      </c>
      <c r="J370" s="11" t="n">
        <v>109</v>
      </c>
      <c r="K370" s="4" t="n">
        <v>5300</v>
      </c>
      <c r="L370" s="8" t="n">
        <v>0</v>
      </c>
      <c r="M370" s="11" t="n">
        <v>101.8</v>
      </c>
      <c r="N370" s="4" t="n">
        <v>4832</v>
      </c>
      <c r="O370" s="8" t="n">
        <v>0</v>
      </c>
      <c r="P370" s="4" t="n">
        <f aca="false">H370+K370+N370</f>
        <v>12198</v>
      </c>
      <c r="Q370" s="4" t="n">
        <f aca="false">Q369+P370</f>
        <v>1172252</v>
      </c>
      <c r="R370" s="4" t="n">
        <f aca="false">Q370-MAX(0,MAX($Q$2:Q370))</f>
        <v>0</v>
      </c>
    </row>
    <row r="371" customFormat="false" ht="15" hidden="false" customHeight="false" outlineLevel="0" collapsed="false">
      <c r="A371" s="7" t="n">
        <v>45834</v>
      </c>
      <c r="B371" s="8" t="n">
        <f aca="false">YEAR(A371)</f>
        <v>2025</v>
      </c>
      <c r="C371" s="8" t="n">
        <f aca="false">MONTH(A371)</f>
        <v>6</v>
      </c>
      <c r="D371" s="8" t="s">
        <v>36</v>
      </c>
      <c r="E371" s="9" t="n">
        <v>25269</v>
      </c>
      <c r="F371" s="10" t="n">
        <v>12.96</v>
      </c>
      <c r="G371" s="11" t="n">
        <v>121.7</v>
      </c>
      <c r="H371" s="4" t="n">
        <v>-2715</v>
      </c>
      <c r="I371" s="8" t="n">
        <v>2</v>
      </c>
      <c r="J371" s="11" t="n">
        <v>120</v>
      </c>
      <c r="K371" s="4" t="n">
        <v>-2680</v>
      </c>
      <c r="L371" s="8" t="n">
        <v>2</v>
      </c>
      <c r="M371" s="11" t="n">
        <v>113.3</v>
      </c>
      <c r="N371" s="4" t="n">
        <v>-2544</v>
      </c>
      <c r="O371" s="8" t="n">
        <v>2</v>
      </c>
      <c r="P371" s="4" t="n">
        <f aca="false">H371+K371+N371</f>
        <v>-7939</v>
      </c>
      <c r="Q371" s="4" t="n">
        <f aca="false">Q370+P371</f>
        <v>1164313</v>
      </c>
      <c r="R371" s="4" t="n">
        <f aca="false">Q371-MAX(0,MAX($Q$2:Q371))</f>
        <v>-7939</v>
      </c>
    </row>
    <row r="372" customFormat="false" ht="15" hidden="false" customHeight="false" outlineLevel="0" collapsed="false">
      <c r="A372" s="7" t="n">
        <v>45841</v>
      </c>
      <c r="B372" s="8" t="n">
        <f aca="false">YEAR(A372)</f>
        <v>2025</v>
      </c>
      <c r="C372" s="8" t="n">
        <f aca="false">MONTH(A372)</f>
        <v>7</v>
      </c>
      <c r="D372" s="8" t="s">
        <v>36</v>
      </c>
      <c r="E372" s="9" t="n">
        <v>25505.1</v>
      </c>
      <c r="F372" s="10" t="n">
        <v>12.45</v>
      </c>
      <c r="G372" s="11" t="n">
        <v>117.6</v>
      </c>
      <c r="H372" s="4" t="n">
        <v>-2633</v>
      </c>
      <c r="I372" s="8" t="n">
        <v>2</v>
      </c>
      <c r="J372" s="11" t="n">
        <v>114.4</v>
      </c>
      <c r="K372" s="4" t="n">
        <v>2126</v>
      </c>
      <c r="L372" s="8" t="n">
        <v>1</v>
      </c>
      <c r="M372" s="11" t="n">
        <v>109.3</v>
      </c>
      <c r="N372" s="4" t="n">
        <v>2668</v>
      </c>
      <c r="O372" s="8" t="n">
        <v>1</v>
      </c>
      <c r="P372" s="4" t="n">
        <f aca="false">H372+K372+N372</f>
        <v>2161</v>
      </c>
      <c r="Q372" s="4" t="n">
        <f aca="false">Q371+P372</f>
        <v>1166474</v>
      </c>
      <c r="R372" s="4" t="n">
        <f aca="false">Q372-MAX(0,MAX($Q$2:Q372))</f>
        <v>-5778</v>
      </c>
    </row>
    <row r="373" customFormat="false" ht="15" hidden="false" customHeight="false" outlineLevel="0" collapsed="false">
      <c r="A373" s="7" t="n">
        <v>45848</v>
      </c>
      <c r="B373" s="8" t="n">
        <f aca="false">YEAR(A373)</f>
        <v>2025</v>
      </c>
      <c r="C373" s="8" t="n">
        <f aca="false">MONTH(A373)</f>
        <v>7</v>
      </c>
      <c r="D373" s="8" t="s">
        <v>36</v>
      </c>
      <c r="E373" s="9" t="n">
        <v>25511.6</v>
      </c>
      <c r="F373" s="10" t="n">
        <v>11.94</v>
      </c>
      <c r="G373" s="11" t="n">
        <v>111.8</v>
      </c>
      <c r="H373" s="4" t="n">
        <v>2023</v>
      </c>
      <c r="I373" s="8" t="n">
        <v>1</v>
      </c>
      <c r="J373" s="11" t="n">
        <v>110.5</v>
      </c>
      <c r="K373" s="4" t="n">
        <v>3300</v>
      </c>
      <c r="L373" s="8" t="n">
        <v>1</v>
      </c>
      <c r="M373" s="11" t="n">
        <v>105.3</v>
      </c>
      <c r="N373" s="4" t="n">
        <v>3151</v>
      </c>
      <c r="O373" s="8" t="n">
        <v>1</v>
      </c>
      <c r="P373" s="4" t="n">
        <f aca="false">H373+K373+N373</f>
        <v>8474</v>
      </c>
      <c r="Q373" s="4" t="n">
        <f aca="false">Q372+P373</f>
        <v>1174948</v>
      </c>
      <c r="R373" s="4" t="n">
        <f aca="false">Q373-MAX(0,MAX($Q$2:Q373))</f>
        <v>0</v>
      </c>
    </row>
    <row r="374" customFormat="false" ht="15" hidden="false" customHeight="false" outlineLevel="0" collapsed="false">
      <c r="A374" s="7" t="n">
        <v>45855</v>
      </c>
      <c r="B374" s="8" t="n">
        <f aca="false">YEAR(A374)</f>
        <v>2025</v>
      </c>
      <c r="C374" s="8" t="n">
        <f aca="false">MONTH(A374)</f>
        <v>7</v>
      </c>
      <c r="D374" s="8" t="s">
        <v>36</v>
      </c>
      <c r="E374" s="9" t="n">
        <v>25230.8</v>
      </c>
      <c r="F374" s="10" t="n">
        <v>11.24</v>
      </c>
      <c r="G374" s="11" t="n">
        <v>91.5</v>
      </c>
      <c r="H374" s="4" t="n">
        <v>1700</v>
      </c>
      <c r="I374" s="8" t="n">
        <v>1</v>
      </c>
      <c r="J374" s="11" t="n">
        <v>88.9</v>
      </c>
      <c r="K374" s="4" t="n">
        <v>1462</v>
      </c>
      <c r="L374" s="8" t="n">
        <v>1</v>
      </c>
      <c r="M374" s="11" t="n">
        <v>84.7</v>
      </c>
      <c r="N374" s="4" t="n">
        <v>-1958</v>
      </c>
      <c r="O374" s="8" t="n">
        <v>2</v>
      </c>
      <c r="P374" s="4" t="n">
        <f aca="false">H374+K374+N374</f>
        <v>1204</v>
      </c>
      <c r="Q374" s="4" t="n">
        <f aca="false">Q373+P374</f>
        <v>1176152</v>
      </c>
      <c r="R374" s="4" t="n">
        <f aca="false">Q374-MAX(0,MAX($Q$2:Q374))</f>
        <v>0</v>
      </c>
    </row>
    <row r="375" customFormat="false" ht="15" hidden="false" customHeight="false" outlineLevel="0" collapsed="false">
      <c r="A375" s="7" t="n">
        <v>45862</v>
      </c>
      <c r="B375" s="8" t="n">
        <f aca="false">YEAR(A375)</f>
        <v>2025</v>
      </c>
      <c r="C375" s="8" t="n">
        <f aca="false">MONTH(A375)</f>
        <v>7</v>
      </c>
      <c r="D375" s="8" t="s">
        <v>36</v>
      </c>
      <c r="E375" s="9" t="n">
        <v>25243.3</v>
      </c>
      <c r="F375" s="10" t="n">
        <v>10.52</v>
      </c>
      <c r="G375" s="11" t="n">
        <v>88</v>
      </c>
      <c r="H375" s="4" t="n">
        <v>1468</v>
      </c>
      <c r="I375" s="8" t="n">
        <v>1</v>
      </c>
      <c r="J375" s="11" t="n">
        <v>87</v>
      </c>
      <c r="K375" s="4" t="n">
        <v>2655</v>
      </c>
      <c r="L375" s="8" t="n">
        <v>1</v>
      </c>
      <c r="M375" s="11" t="n">
        <v>82</v>
      </c>
      <c r="N375" s="4" t="n">
        <v>989</v>
      </c>
      <c r="O375" s="8" t="n">
        <v>1</v>
      </c>
      <c r="P375" s="4" t="n">
        <f aca="false">H375+K375+N375</f>
        <v>5112</v>
      </c>
      <c r="Q375" s="4" t="n">
        <f aca="false">Q374+P375</f>
        <v>1181264</v>
      </c>
      <c r="R375" s="4" t="n">
        <f aca="false">Q375-MAX(0,MAX($Q$2:Q375))</f>
        <v>0</v>
      </c>
    </row>
    <row r="376" customFormat="false" ht="15" hidden="false" customHeight="false" outlineLevel="0" collapsed="false">
      <c r="A376" s="7" t="n">
        <v>45869</v>
      </c>
      <c r="B376" s="8" t="n">
        <f aca="false">YEAR(A376)</f>
        <v>2025</v>
      </c>
      <c r="C376" s="8" t="n">
        <f aca="false">MONTH(A376)</f>
        <v>7</v>
      </c>
      <c r="D376" s="8" t="s">
        <v>36</v>
      </c>
      <c r="E376" s="9" t="n">
        <v>24642.2</v>
      </c>
      <c r="F376" s="10" t="n">
        <v>11.21</v>
      </c>
      <c r="G376" s="11" t="n">
        <v>153.9</v>
      </c>
      <c r="H376" s="4" t="n">
        <v>-3374</v>
      </c>
      <c r="I376" s="8" t="n">
        <v>2</v>
      </c>
      <c r="J376" s="11" t="n">
        <v>149.3</v>
      </c>
      <c r="K376" s="4" t="n">
        <v>2388</v>
      </c>
      <c r="L376" s="8" t="n">
        <v>1</v>
      </c>
      <c r="M376" s="11" t="n">
        <v>143.2</v>
      </c>
      <c r="N376" s="4" t="n">
        <v>1842</v>
      </c>
      <c r="O376" s="8" t="n">
        <v>1</v>
      </c>
      <c r="P376" s="4" t="n">
        <f aca="false">H376+K376+N376</f>
        <v>856</v>
      </c>
      <c r="Q376" s="4" t="n">
        <f aca="false">Q375+P376</f>
        <v>1182120</v>
      </c>
      <c r="R376" s="4" t="n">
        <f aca="false">Q376-MAX(0,MAX($Q$2:Q376))</f>
        <v>0</v>
      </c>
    </row>
    <row r="377" customFormat="false" ht="15" hidden="false" customHeight="false" outlineLevel="0" collapsed="false">
      <c r="A377" s="7" t="n">
        <v>45876</v>
      </c>
      <c r="B377" s="8" t="n">
        <f aca="false">YEAR(A377)</f>
        <v>2025</v>
      </c>
      <c r="C377" s="8" t="n">
        <f aca="false">MONTH(A377)</f>
        <v>8</v>
      </c>
      <c r="D377" s="8" t="s">
        <v>36</v>
      </c>
      <c r="E377" s="9" t="n">
        <v>24464.2</v>
      </c>
      <c r="F377" s="10" t="n">
        <v>11.96</v>
      </c>
      <c r="G377" s="11" t="n">
        <v>132.9</v>
      </c>
      <c r="H377" s="4" t="n">
        <v>-2944</v>
      </c>
      <c r="I377" s="8" t="n">
        <v>2</v>
      </c>
      <c r="J377" s="11" t="n">
        <v>129.5</v>
      </c>
      <c r="K377" s="4" t="n">
        <v>-2875</v>
      </c>
      <c r="L377" s="8" t="n">
        <v>2</v>
      </c>
      <c r="M377" s="11" t="n">
        <v>122.5</v>
      </c>
      <c r="N377" s="4" t="n">
        <v>-2731</v>
      </c>
      <c r="O377" s="8" t="n">
        <v>2</v>
      </c>
      <c r="P377" s="4" t="n">
        <f aca="false">H377+K377+N377</f>
        <v>-8550</v>
      </c>
      <c r="Q377" s="4" t="n">
        <f aca="false">Q376+P377</f>
        <v>1173570</v>
      </c>
      <c r="R377" s="4" t="n">
        <f aca="false">Q377-MAX(0,MAX($Q$2:Q377))</f>
        <v>-8550</v>
      </c>
    </row>
    <row r="378" customFormat="false" ht="15" hidden="false" customHeight="false" outlineLevel="0" collapsed="false">
      <c r="A378" s="7" t="n">
        <v>45883</v>
      </c>
      <c r="B378" s="8" t="n">
        <f aca="false">YEAR(A378)</f>
        <v>2025</v>
      </c>
      <c r="C378" s="8" t="n">
        <f aca="false">MONTH(A378)</f>
        <v>8</v>
      </c>
      <c r="D378" s="8" t="s">
        <v>36</v>
      </c>
      <c r="E378" s="9" t="n">
        <v>24607.2</v>
      </c>
      <c r="F378" s="10" t="n">
        <v>12.14</v>
      </c>
      <c r="G378" s="11" t="n">
        <v>111.9</v>
      </c>
      <c r="H378" s="4" t="n">
        <v>2528</v>
      </c>
      <c r="I378" s="8" t="n">
        <v>1</v>
      </c>
      <c r="J378" s="11" t="n">
        <v>110.6</v>
      </c>
      <c r="K378" s="4" t="n">
        <v>804</v>
      </c>
      <c r="L378" s="8" t="n">
        <v>1</v>
      </c>
      <c r="M378" s="11" t="n">
        <v>104.3</v>
      </c>
      <c r="N378" s="4" t="n">
        <v>2689</v>
      </c>
      <c r="O378" s="8" t="n">
        <v>1</v>
      </c>
      <c r="P378" s="4" t="n">
        <f aca="false">H378+K378+N378</f>
        <v>6021</v>
      </c>
      <c r="Q378" s="4" t="n">
        <f aca="false">Q377+P378</f>
        <v>1179591</v>
      </c>
      <c r="R378" s="4" t="n">
        <f aca="false">Q378-MAX(0,MAX($Q$2:Q378))</f>
        <v>-2529</v>
      </c>
    </row>
    <row r="379" customFormat="false" ht="15" hidden="false" customHeight="false" outlineLevel="0" collapsed="false">
      <c r="A379" s="7" t="n">
        <v>45890</v>
      </c>
      <c r="B379" s="8" t="n">
        <f aca="false">YEAR(A379)</f>
        <v>2025</v>
      </c>
      <c r="C379" s="8" t="n">
        <f aca="false">MONTH(A379)</f>
        <v>8</v>
      </c>
      <c r="D379" s="8" t="s">
        <v>36</v>
      </c>
      <c r="E379" s="9" t="n">
        <v>25142</v>
      </c>
      <c r="F379" s="10" t="n">
        <v>11.79</v>
      </c>
      <c r="G379" s="11" t="n">
        <v>105.2</v>
      </c>
      <c r="H379" s="4" t="n">
        <v>1293</v>
      </c>
      <c r="I379" s="8" t="n">
        <v>1</v>
      </c>
      <c r="J379" s="11" t="n">
        <v>102.4</v>
      </c>
      <c r="K379" s="4" t="n">
        <v>1362</v>
      </c>
      <c r="L379" s="8" t="n">
        <v>1</v>
      </c>
      <c r="M379" s="11" t="n">
        <v>96.9</v>
      </c>
      <c r="N379" s="4" t="n">
        <v>1839</v>
      </c>
      <c r="O379" s="8" t="n">
        <v>1</v>
      </c>
      <c r="P379" s="4" t="n">
        <f aca="false">H379+K379+N379</f>
        <v>4494</v>
      </c>
      <c r="Q379" s="4" t="n">
        <f aca="false">Q378+P379</f>
        <v>1184085</v>
      </c>
      <c r="R379" s="4" t="n">
        <f aca="false">Q379-MAX(0,MAX($Q$2:Q379))</f>
        <v>0</v>
      </c>
    </row>
    <row r="380" customFormat="false" ht="15" hidden="false" customHeight="false" outlineLevel="0" collapsed="false">
      <c r="A380" s="7" t="n">
        <v>45897</v>
      </c>
      <c r="B380" s="8" t="n">
        <f aca="false">YEAR(A380)</f>
        <v>2025</v>
      </c>
      <c r="C380" s="8" t="n">
        <f aca="false">MONTH(A380)</f>
        <v>8</v>
      </c>
      <c r="D380" s="8" t="s">
        <v>36</v>
      </c>
      <c r="E380" s="9" t="n">
        <v>24695.8</v>
      </c>
      <c r="F380" s="10" t="n">
        <v>12.19</v>
      </c>
      <c r="G380" s="11" t="n">
        <v>132.7</v>
      </c>
      <c r="H380" s="4" t="n">
        <v>-1388</v>
      </c>
      <c r="I380" s="8" t="n">
        <v>1</v>
      </c>
      <c r="J380" s="11" t="n">
        <v>128.3</v>
      </c>
      <c r="K380" s="4" t="n">
        <v>-2851</v>
      </c>
      <c r="L380" s="8" t="n">
        <v>2</v>
      </c>
      <c r="M380" s="11" t="n">
        <v>122.8</v>
      </c>
      <c r="N380" s="4" t="n">
        <v>-2738</v>
      </c>
      <c r="O380" s="8" t="n">
        <v>2</v>
      </c>
      <c r="P380" s="4" t="n">
        <f aca="false">H380+K380+N380</f>
        <v>-6977</v>
      </c>
      <c r="Q380" s="4" t="n">
        <f aca="false">Q379+P380</f>
        <v>1177108</v>
      </c>
      <c r="R380" s="4" t="n">
        <f aca="false">Q380-MAX(0,MAX($Q$2:Q380))</f>
        <v>-6977</v>
      </c>
    </row>
    <row r="381" customFormat="false" ht="15" hidden="false" customHeight="false" outlineLevel="0" collapsed="false">
      <c r="A381" s="7" t="n">
        <v>45902</v>
      </c>
      <c r="B381" s="8" t="n">
        <f aca="false">YEAR(A381)</f>
        <v>2025</v>
      </c>
      <c r="C381" s="8" t="n">
        <f aca="false">MONTH(A381)</f>
        <v>9</v>
      </c>
      <c r="D381" s="8" t="s">
        <v>38</v>
      </c>
      <c r="E381" s="9" t="n">
        <v>24653</v>
      </c>
      <c r="F381" s="10" t="n">
        <v>11.29</v>
      </c>
      <c r="G381" s="11" t="n">
        <v>88.8</v>
      </c>
      <c r="H381" s="4" t="n">
        <v>-2042</v>
      </c>
      <c r="I381" s="8" t="n">
        <v>2</v>
      </c>
      <c r="J381" s="11" t="n">
        <v>86.3</v>
      </c>
      <c r="K381" s="4" t="n">
        <v>1749</v>
      </c>
      <c r="L381" s="8" t="n">
        <v>1</v>
      </c>
      <c r="M381" s="11" t="n">
        <v>84.1</v>
      </c>
      <c r="N381" s="4" t="n">
        <v>-1946</v>
      </c>
      <c r="O381" s="8" t="n">
        <v>2</v>
      </c>
      <c r="P381" s="4" t="n">
        <f aca="false">H381+K381+N381</f>
        <v>-2239</v>
      </c>
      <c r="Q381" s="4" t="n">
        <f aca="false">Q380+P381</f>
        <v>1174869</v>
      </c>
      <c r="R381" s="4" t="n">
        <f aca="false">Q381-MAX(0,MAX($Q$2:Q381))</f>
        <v>-9216</v>
      </c>
    </row>
    <row r="382" customFormat="false" ht="15" hidden="false" customHeight="false" outlineLevel="0" collapsed="false">
      <c r="A382" s="7" t="n">
        <v>45909</v>
      </c>
      <c r="B382" s="8" t="n">
        <f aca="false">YEAR(A382)</f>
        <v>2025</v>
      </c>
      <c r="C382" s="8" t="n">
        <f aca="false">MONTH(A382)</f>
        <v>9</v>
      </c>
      <c r="D382" s="8" t="s">
        <v>38</v>
      </c>
      <c r="E382" s="9" t="n">
        <v>24864.1</v>
      </c>
      <c r="F382" s="10" t="n">
        <v>10.84</v>
      </c>
      <c r="G382" s="11" t="n">
        <v>81.3</v>
      </c>
      <c r="H382" s="4" t="n">
        <v>507</v>
      </c>
      <c r="I382" s="8" t="n">
        <v>1</v>
      </c>
      <c r="J382" s="11" t="n">
        <v>78.6</v>
      </c>
      <c r="K382" s="4" t="n">
        <v>61</v>
      </c>
      <c r="L382" s="8" t="n">
        <v>1</v>
      </c>
      <c r="M382" s="11" t="n">
        <v>75.5</v>
      </c>
      <c r="N382" s="4" t="n">
        <v>1881</v>
      </c>
      <c r="O382" s="8" t="n">
        <v>1</v>
      </c>
      <c r="P382" s="4" t="n">
        <f aca="false">H382+K382+N382</f>
        <v>2449</v>
      </c>
      <c r="Q382" s="4" t="n">
        <f aca="false">Q381+P382</f>
        <v>1177318</v>
      </c>
      <c r="R382" s="4" t="n">
        <f aca="false">Q382-MAX(0,MAX($Q$2:Q382))</f>
        <v>-6767</v>
      </c>
    </row>
    <row r="383" customFormat="false" ht="15" hidden="false" customHeight="false" outlineLevel="0" collapsed="false">
      <c r="A383" s="7" t="n">
        <v>45916</v>
      </c>
      <c r="B383" s="8" t="n">
        <f aca="false">YEAR(A383)</f>
        <v>2025</v>
      </c>
      <c r="C383" s="8" t="n">
        <f aca="false">MONTH(A383)</f>
        <v>9</v>
      </c>
      <c r="D383" s="8" t="s">
        <v>38</v>
      </c>
      <c r="E383" s="9" t="n">
        <v>25073.6</v>
      </c>
      <c r="F383" s="10" t="n">
        <v>10.4</v>
      </c>
      <c r="G383" s="11" t="n">
        <v>93.1</v>
      </c>
      <c r="H383" s="4" t="n">
        <v>2182</v>
      </c>
      <c r="I383" s="8" t="n">
        <v>1</v>
      </c>
      <c r="J383" s="11" t="n">
        <v>92.4</v>
      </c>
      <c r="K383" s="4" t="n">
        <v>752</v>
      </c>
      <c r="L383" s="8" t="n">
        <v>1</v>
      </c>
      <c r="M383" s="11" t="n">
        <v>88.3</v>
      </c>
      <c r="N383" s="4" t="n">
        <v>659</v>
      </c>
      <c r="O383" s="8" t="n">
        <v>1</v>
      </c>
      <c r="P383" s="4" t="n">
        <f aca="false">H383+K383+N383</f>
        <v>3593</v>
      </c>
      <c r="Q383" s="4" t="n">
        <f aca="false">Q382+P383</f>
        <v>1180911</v>
      </c>
      <c r="R383" s="4" t="n">
        <f aca="false">Q383-MAX(0,MAX($Q$2:Q383))</f>
        <v>-3174</v>
      </c>
    </row>
    <row r="384" customFormat="false" ht="15" hidden="false" customHeight="false" outlineLevel="0" collapsed="false">
      <c r="A384" s="7" t="n">
        <v>45923</v>
      </c>
      <c r="B384" s="8" t="n">
        <f aca="false">YEAR(A384)</f>
        <v>2025</v>
      </c>
      <c r="C384" s="8" t="n">
        <f aca="false">MONTH(A384)</f>
        <v>9</v>
      </c>
      <c r="D384" s="8" t="s">
        <v>38</v>
      </c>
      <c r="E384" s="9" t="n">
        <v>25209</v>
      </c>
      <c r="F384" s="10" t="n">
        <v>10.56</v>
      </c>
      <c r="G384" s="11" t="n">
        <v>89.8</v>
      </c>
      <c r="H384" s="4" t="n">
        <v>-2063</v>
      </c>
      <c r="I384" s="8" t="n">
        <v>2</v>
      </c>
      <c r="J384" s="11" t="n">
        <v>87.4</v>
      </c>
      <c r="K384" s="4" t="n">
        <v>-2013</v>
      </c>
      <c r="L384" s="8" t="n">
        <v>2</v>
      </c>
      <c r="M384" s="11" t="n">
        <v>85.8</v>
      </c>
      <c r="N384" s="4" t="n">
        <v>-1980</v>
      </c>
      <c r="O384" s="8" t="n">
        <v>2</v>
      </c>
      <c r="P384" s="4" t="n">
        <f aca="false">H384+K384+N384</f>
        <v>-6056</v>
      </c>
      <c r="Q384" s="4" t="n">
        <f aca="false">Q383+P384</f>
        <v>1174855</v>
      </c>
      <c r="R384" s="4" t="n">
        <f aca="false">Q384-MAX(0,MAX($Q$2:Q384))</f>
        <v>-9230</v>
      </c>
    </row>
    <row r="385" customFormat="false" ht="15" hidden="false" customHeight="false" outlineLevel="0" collapsed="false">
      <c r="A385" s="7" t="n">
        <v>45930</v>
      </c>
      <c r="B385" s="8" t="n">
        <f aca="false">YEAR(A385)</f>
        <v>2025</v>
      </c>
      <c r="C385" s="8" t="n">
        <f aca="false">MONTH(A385)</f>
        <v>9</v>
      </c>
      <c r="D385" s="8" t="s">
        <v>38</v>
      </c>
      <c r="E385" s="9" t="n">
        <v>24692</v>
      </c>
      <c r="F385" s="10" t="n">
        <v>11.37</v>
      </c>
      <c r="G385" s="11" t="n">
        <v>87</v>
      </c>
      <c r="H385" s="4" t="n">
        <v>-2005</v>
      </c>
      <c r="I385" s="8" t="n">
        <v>2</v>
      </c>
      <c r="J385" s="11" t="n">
        <v>86.4</v>
      </c>
      <c r="K385" s="4" t="n">
        <v>2667</v>
      </c>
      <c r="L385" s="8" t="n">
        <v>1</v>
      </c>
      <c r="M385" s="11" t="n">
        <v>81.7</v>
      </c>
      <c r="N385" s="4" t="n">
        <v>-1896</v>
      </c>
      <c r="O385" s="8" t="n">
        <v>2</v>
      </c>
      <c r="P385" s="4" t="n">
        <f aca="false">H385+K385+N385</f>
        <v>-1234</v>
      </c>
      <c r="Q385" s="4" t="n">
        <f aca="false">Q384+P385</f>
        <v>1173621</v>
      </c>
      <c r="R385" s="4" t="n">
        <f aca="false">Q385-MAX(0,MAX($Q$2:Q385))</f>
        <v>-10464</v>
      </c>
    </row>
    <row r="386" customFormat="false" ht="15" hidden="false" customHeight="false" outlineLevel="0" collapsed="false">
      <c r="A386" s="7" t="n">
        <v>45937</v>
      </c>
      <c r="B386" s="8" t="n">
        <f aca="false">YEAR(A386)</f>
        <v>2025</v>
      </c>
      <c r="C386" s="8" t="n">
        <f aca="false">MONTH(A386)</f>
        <v>10</v>
      </c>
      <c r="D386" s="8" t="s">
        <v>38</v>
      </c>
      <c r="E386" s="9" t="n">
        <v>25085.3</v>
      </c>
      <c r="F386" s="10" t="n">
        <v>10.19</v>
      </c>
      <c r="G386" s="11" t="n">
        <v>80</v>
      </c>
      <c r="H386" s="4" t="n">
        <v>-1862</v>
      </c>
      <c r="I386" s="8" t="n">
        <v>2</v>
      </c>
      <c r="J386" s="11" t="n">
        <v>77.9</v>
      </c>
      <c r="K386" s="4" t="n">
        <v>1690</v>
      </c>
      <c r="L386" s="8" t="n">
        <v>1</v>
      </c>
      <c r="M386" s="11" t="n">
        <v>77.3</v>
      </c>
      <c r="N386" s="4" t="n">
        <v>-1807</v>
      </c>
      <c r="O386" s="8" t="n">
        <v>2</v>
      </c>
      <c r="P386" s="4" t="n">
        <f aca="false">H386+K386+N386</f>
        <v>-1979</v>
      </c>
      <c r="Q386" s="4" t="n">
        <f aca="false">Q385+P386</f>
        <v>1171642</v>
      </c>
      <c r="R386" s="4" t="n">
        <f aca="false">Q386-MAX(0,MAX($Q$2:Q386))</f>
        <v>-12443</v>
      </c>
    </row>
    <row r="387" customFormat="false" ht="15" hidden="false" customHeight="false" outlineLevel="0" collapsed="false">
      <c r="A387" s="7" t="n">
        <v>45944</v>
      </c>
      <c r="B387" s="8" t="n">
        <f aca="false">YEAR(A387)</f>
        <v>2025</v>
      </c>
      <c r="C387" s="8" t="n">
        <f aca="false">MONTH(A387)</f>
        <v>10</v>
      </c>
      <c r="D387" s="8" t="s">
        <v>38</v>
      </c>
      <c r="E387" s="9" t="n">
        <v>25277.6</v>
      </c>
      <c r="F387" s="10" t="n">
        <v>11.01</v>
      </c>
      <c r="G387" s="11" t="n">
        <v>77.2</v>
      </c>
      <c r="H387" s="4" t="n">
        <v>1179</v>
      </c>
      <c r="I387" s="8" t="n">
        <v>1</v>
      </c>
      <c r="J387" s="11" t="n">
        <v>74.6</v>
      </c>
      <c r="K387" s="4" t="n">
        <v>-1751</v>
      </c>
      <c r="L387" s="8" t="n">
        <v>2</v>
      </c>
      <c r="M387" s="11" t="n">
        <v>72.8</v>
      </c>
      <c r="N387" s="4" t="n">
        <v>-1716</v>
      </c>
      <c r="O387" s="8" t="n">
        <v>2</v>
      </c>
      <c r="P387" s="4" t="n">
        <f aca="false">H387+K387+N387</f>
        <v>-2288</v>
      </c>
      <c r="Q387" s="4" t="n">
        <f aca="false">Q386+P387</f>
        <v>1169354</v>
      </c>
      <c r="R387" s="4" t="n">
        <f aca="false">Q387-MAX(0,MAX($Q$2:Q387))</f>
        <v>-14731</v>
      </c>
    </row>
    <row r="388" customFormat="false" ht="15" hidden="false" customHeight="false" outlineLevel="0" collapsed="false">
      <c r="A388" s="7" t="n">
        <v>45950</v>
      </c>
      <c r="B388" s="8" t="n">
        <f aca="false">YEAR(A388)</f>
        <v>2025</v>
      </c>
      <c r="C388" s="8" t="n">
        <f aca="false">MONTH(A388)</f>
        <v>10</v>
      </c>
      <c r="D388" s="8" t="s">
        <v>39</v>
      </c>
      <c r="E388" s="9" t="n">
        <v>25824.6</v>
      </c>
      <c r="F388" s="10" t="n">
        <v>11.63</v>
      </c>
      <c r="G388" s="11" t="n">
        <v>124</v>
      </c>
      <c r="H388" s="4" t="n">
        <v>-2763</v>
      </c>
      <c r="I388" s="8" t="n">
        <v>2</v>
      </c>
      <c r="J388" s="11" t="n">
        <v>120.6</v>
      </c>
      <c r="K388" s="4" t="n">
        <v>1913</v>
      </c>
      <c r="L388" s="8" t="n">
        <v>1</v>
      </c>
      <c r="M388" s="11" t="n">
        <v>114.8</v>
      </c>
      <c r="N388" s="4" t="n">
        <v>1664</v>
      </c>
      <c r="O388" s="8" t="n">
        <v>1</v>
      </c>
      <c r="P388" s="4" t="n">
        <f aca="false">H388+K388+N388</f>
        <v>814</v>
      </c>
      <c r="Q388" s="4" t="n">
        <f aca="false">Q387+P388</f>
        <v>1170168</v>
      </c>
      <c r="R388" s="4" t="n">
        <f aca="false">Q388-MAX(0,MAX($Q$2:Q388))</f>
        <v>-13917</v>
      </c>
    </row>
    <row r="389" customFormat="false" ht="15" hidden="false" customHeight="false" outlineLevel="0" collapsed="false">
      <c r="A389" s="7" t="n">
        <v>45958</v>
      </c>
      <c r="B389" s="8" t="n">
        <f aca="false">YEAR(A389)</f>
        <v>2025</v>
      </c>
      <c r="C389" s="8" t="n">
        <f aca="false">MONTH(A389)</f>
        <v>10</v>
      </c>
      <c r="D389" s="8" t="s">
        <v>38</v>
      </c>
      <c r="E389" s="9" t="n">
        <v>25940</v>
      </c>
      <c r="F389" s="10" t="n">
        <v>11.86</v>
      </c>
      <c r="G389" s="11" t="n">
        <v>142.7</v>
      </c>
      <c r="H389" s="4" t="n">
        <v>3987</v>
      </c>
      <c r="I389" s="8" t="n">
        <v>1</v>
      </c>
      <c r="J389" s="11" t="n">
        <v>137.3</v>
      </c>
      <c r="K389" s="4" t="n">
        <v>1441</v>
      </c>
      <c r="L389" s="8" t="n">
        <v>1</v>
      </c>
      <c r="M389" s="11" t="n">
        <v>130.5</v>
      </c>
      <c r="N389" s="4" t="n">
        <v>-2895</v>
      </c>
      <c r="O389" s="8" t="n">
        <v>2</v>
      </c>
      <c r="P389" s="4" t="n">
        <f aca="false">H389+K389+N389</f>
        <v>2533</v>
      </c>
      <c r="Q389" s="4" t="n">
        <f aca="false">Q388+P389</f>
        <v>1172701</v>
      </c>
      <c r="R389" s="4" t="n">
        <f aca="false">Q389-MAX(0,MAX($Q$2:Q389))</f>
        <v>-11384</v>
      </c>
    </row>
    <row r="390" customFormat="false" ht="15" hidden="false" customHeight="false" outlineLevel="0" collapsed="false">
      <c r="A390" s="7" t="n">
        <v>45965</v>
      </c>
      <c r="B390" s="8" t="n">
        <f aca="false">YEAR(A390)</f>
        <v>2025</v>
      </c>
      <c r="C390" s="8" t="n">
        <f aca="false">MONTH(A390)</f>
        <v>11</v>
      </c>
      <c r="D390" s="8" t="s">
        <v>38</v>
      </c>
      <c r="E390" s="9" t="n">
        <v>25744.8</v>
      </c>
      <c r="F390" s="10" t="n">
        <v>12.67</v>
      </c>
      <c r="G390" s="11" t="n">
        <v>134.4</v>
      </c>
      <c r="H390" s="4" t="n">
        <v>3784</v>
      </c>
      <c r="I390" s="8" t="n">
        <v>1</v>
      </c>
      <c r="J390" s="11" t="n">
        <v>130.3</v>
      </c>
      <c r="K390" s="4" t="n">
        <v>3623</v>
      </c>
      <c r="L390" s="8" t="n">
        <v>1</v>
      </c>
      <c r="M390" s="11" t="n">
        <v>123.6</v>
      </c>
      <c r="N390" s="4" t="n">
        <v>3180</v>
      </c>
      <c r="O390" s="8" t="n">
        <v>1</v>
      </c>
      <c r="P390" s="4" t="n">
        <f aca="false">H390+K390+N390</f>
        <v>10587</v>
      </c>
      <c r="Q390" s="4" t="n">
        <f aca="false">Q389+P390</f>
        <v>1183288</v>
      </c>
      <c r="R390" s="4" t="n">
        <f aca="false">Q390-MAX(0,MAX($Q$2:Q390))</f>
        <v>-797</v>
      </c>
    </row>
    <row r="391" customFormat="false" ht="15" hidden="false" customHeight="false" outlineLevel="0" collapsed="false">
      <c r="A391" s="7" t="n">
        <v>45972</v>
      </c>
      <c r="B391" s="8" t="n">
        <f aca="false">YEAR(A391)</f>
        <v>2025</v>
      </c>
      <c r="C391" s="8" t="n">
        <f aca="false">MONTH(A391)</f>
        <v>11</v>
      </c>
      <c r="D391" s="8" t="s">
        <v>38</v>
      </c>
      <c r="E391" s="9" t="n">
        <v>25617</v>
      </c>
      <c r="F391" s="10" t="n">
        <v>12.3</v>
      </c>
      <c r="G391" s="11" t="n">
        <v>109.9</v>
      </c>
      <c r="H391" s="4" t="n">
        <v>-2474</v>
      </c>
      <c r="I391" s="8" t="n">
        <v>2</v>
      </c>
      <c r="J391" s="11" t="n">
        <v>107.7</v>
      </c>
      <c r="K391" s="4" t="n">
        <v>-2430</v>
      </c>
      <c r="L391" s="8" t="n">
        <v>2</v>
      </c>
      <c r="M391" s="11" t="n">
        <v>102.7</v>
      </c>
      <c r="N391" s="4" t="n">
        <v>1000</v>
      </c>
      <c r="O391" s="8" t="n">
        <v>1</v>
      </c>
      <c r="P391" s="4" t="n">
        <f aca="false">H391+K391+N391</f>
        <v>-3904</v>
      </c>
      <c r="Q391" s="4" t="n">
        <f aca="false">Q390+P391</f>
        <v>1179384</v>
      </c>
      <c r="R391" s="4" t="n">
        <f aca="false">Q391-MAX(0,MAX($Q$2:Q391))</f>
        <v>-4701</v>
      </c>
    </row>
    <row r="392" customFormat="false" ht="15" hidden="false" customHeight="false" outlineLevel="0" collapsed="false">
      <c r="A392" s="7" t="n">
        <v>45979</v>
      </c>
      <c r="B392" s="8" t="n">
        <f aca="false">YEAR(A392)</f>
        <v>2025</v>
      </c>
      <c r="C392" s="8" t="n">
        <f aca="false">MONTH(A392)</f>
        <v>11</v>
      </c>
      <c r="D392" s="8" t="s">
        <v>38</v>
      </c>
      <c r="E392" s="9" t="n">
        <v>26021.8</v>
      </c>
      <c r="F392" s="10" t="n">
        <v>11.79</v>
      </c>
      <c r="G392" s="11" t="n">
        <v>118.3</v>
      </c>
      <c r="H392" s="4" t="n">
        <v>2594</v>
      </c>
      <c r="I392" s="8" t="n">
        <v>1</v>
      </c>
      <c r="J392" s="11" t="n">
        <v>115.3</v>
      </c>
      <c r="K392" s="4" t="n">
        <v>731</v>
      </c>
      <c r="L392" s="8" t="n">
        <v>1</v>
      </c>
      <c r="M392" s="11" t="n">
        <v>109.4</v>
      </c>
      <c r="N392" s="4" t="n">
        <v>1756</v>
      </c>
      <c r="O392" s="8" t="n">
        <v>1</v>
      </c>
      <c r="P392" s="4" t="n">
        <f aca="false">H392+K392+N392</f>
        <v>5081</v>
      </c>
      <c r="Q392" s="4" t="n">
        <f aca="false">Q391+P392</f>
        <v>1184465</v>
      </c>
      <c r="R392" s="4" t="n">
        <f aca="false">Q392-MAX(0,MAX($Q$2:Q392))</f>
        <v>0</v>
      </c>
    </row>
    <row r="393" customFormat="false" ht="15" hidden="false" customHeight="false" outlineLevel="0" collapsed="false">
      <c r="A393" s="7" t="n">
        <v>45986</v>
      </c>
      <c r="B393" s="8" t="n">
        <f aca="false">YEAR(A393)</f>
        <v>2025</v>
      </c>
      <c r="C393" s="8" t="n">
        <f aca="false">MONTH(A393)</f>
        <v>11</v>
      </c>
      <c r="D393" s="8" t="s">
        <v>38</v>
      </c>
      <c r="E393" s="9" t="n">
        <v>25998.5</v>
      </c>
      <c r="F393" s="10" t="n">
        <v>13.24</v>
      </c>
      <c r="G393" s="11" t="n">
        <v>123.2</v>
      </c>
      <c r="H393" s="4" t="n">
        <v>-2747</v>
      </c>
      <c r="I393" s="8" t="n">
        <v>2</v>
      </c>
      <c r="J393" s="11" t="n">
        <v>118.2</v>
      </c>
      <c r="K393" s="4" t="n">
        <v>-2645</v>
      </c>
      <c r="L393" s="8" t="n">
        <v>2</v>
      </c>
      <c r="M393" s="11" t="n">
        <v>112.7</v>
      </c>
      <c r="N393" s="4" t="n">
        <v>2587</v>
      </c>
      <c r="O393" s="8" t="n">
        <v>1</v>
      </c>
      <c r="P393" s="4" t="n">
        <f aca="false">H393+K393+N393</f>
        <v>-2805</v>
      </c>
      <c r="Q393" s="4" t="n">
        <f aca="false">Q392+P393</f>
        <v>1181660</v>
      </c>
      <c r="R393" s="4" t="n">
        <f aca="false">Q393-MAX(0,MAX($Q$2:Q393))</f>
        <v>-2805</v>
      </c>
    </row>
    <row r="394" customFormat="false" ht="15" hidden="false" customHeight="false" outlineLevel="0" collapsed="false">
      <c r="A394" s="7" t="n">
        <v>45993</v>
      </c>
      <c r="B394" s="8" t="n">
        <f aca="false">YEAR(A394)</f>
        <v>2025</v>
      </c>
      <c r="C394" s="8" t="n">
        <f aca="false">MONTH(A394)</f>
        <v>12</v>
      </c>
      <c r="D394" s="8" t="s">
        <v>38</v>
      </c>
      <c r="E394" s="9" t="n">
        <v>26088</v>
      </c>
      <c r="F394" s="10" t="n">
        <v>11.63</v>
      </c>
      <c r="G394" s="11" t="n">
        <v>131</v>
      </c>
      <c r="H394" s="4" t="n">
        <v>2017</v>
      </c>
      <c r="I394" s="8" t="n">
        <v>1</v>
      </c>
      <c r="J394" s="11" t="n">
        <v>127.1</v>
      </c>
      <c r="K394" s="4" t="n">
        <v>1983</v>
      </c>
      <c r="L394" s="8" t="n">
        <v>1</v>
      </c>
      <c r="M394" s="11" t="n">
        <v>120.8</v>
      </c>
      <c r="N394" s="4" t="n">
        <v>2075</v>
      </c>
      <c r="O394" s="8" t="n">
        <v>1</v>
      </c>
      <c r="P394" s="4" t="n">
        <f aca="false">H394+K394+N394</f>
        <v>6075</v>
      </c>
      <c r="Q394" s="4" t="n">
        <f aca="false">Q393+P394</f>
        <v>1187735</v>
      </c>
      <c r="R394" s="4" t="n">
        <f aca="false">Q394-MAX(0,MAX($Q$2:Q394))</f>
        <v>0</v>
      </c>
    </row>
    <row r="395" customFormat="false" ht="15" hidden="false" customHeight="false" outlineLevel="0" collapsed="false">
      <c r="A395" s="7" t="n">
        <v>46000</v>
      </c>
      <c r="B395" s="8" t="n">
        <f aca="false">YEAR(A395)</f>
        <v>2025</v>
      </c>
      <c r="C395" s="8" t="n">
        <f aca="false">MONTH(A395)</f>
        <v>12</v>
      </c>
      <c r="D395" s="8" t="s">
        <v>38</v>
      </c>
      <c r="E395" s="9" t="n">
        <v>25867.1</v>
      </c>
      <c r="F395" s="10" t="n">
        <v>11.13</v>
      </c>
      <c r="G395" s="11" t="n">
        <v>118.6</v>
      </c>
      <c r="H395" s="4" t="n">
        <v>1777</v>
      </c>
      <c r="I395" s="8" t="n">
        <v>1</v>
      </c>
      <c r="J395" s="11" t="n">
        <v>114.7</v>
      </c>
      <c r="K395" s="4" t="n">
        <v>1996</v>
      </c>
      <c r="L395" s="8" t="n">
        <v>1</v>
      </c>
      <c r="M395" s="11" t="n">
        <v>109.3</v>
      </c>
      <c r="N395" s="4" t="n">
        <v>2006</v>
      </c>
      <c r="O395" s="8" t="n">
        <v>1</v>
      </c>
      <c r="P395" s="4" t="n">
        <f aca="false">H395+K395+N395</f>
        <v>5779</v>
      </c>
      <c r="Q395" s="4" t="n">
        <f aca="false">Q394+P395</f>
        <v>1193514</v>
      </c>
      <c r="R395" s="4" t="n">
        <f aca="false">Q395-MAX(0,MAX($Q$2:Q395))</f>
        <v>0</v>
      </c>
    </row>
    <row r="396" customFormat="false" ht="15" hidden="false" customHeight="false" outlineLevel="0" collapsed="false">
      <c r="A396" s="7" t="n">
        <v>46007</v>
      </c>
      <c r="B396" s="8" t="n">
        <f aca="false">YEAR(A396)</f>
        <v>2025</v>
      </c>
      <c r="C396" s="8" t="n">
        <f aca="false">MONTH(A396)</f>
        <v>12</v>
      </c>
      <c r="D396" s="8" t="s">
        <v>38</v>
      </c>
      <c r="E396" s="9" t="n">
        <v>25951.5</v>
      </c>
      <c r="F396" s="10" t="n">
        <v>10.25</v>
      </c>
      <c r="G396" s="11" t="n">
        <v>112.2</v>
      </c>
      <c r="H396" s="4" t="n">
        <v>1506</v>
      </c>
      <c r="I396" s="8" t="n">
        <v>1</v>
      </c>
      <c r="J396" s="11" t="n">
        <v>107.9</v>
      </c>
      <c r="K396" s="4" t="n">
        <v>3977</v>
      </c>
      <c r="L396" s="8" t="n">
        <v>0</v>
      </c>
      <c r="M396" s="11" t="n">
        <v>103.9</v>
      </c>
      <c r="N396" s="4" t="n">
        <v>2821</v>
      </c>
      <c r="O396" s="8" t="n">
        <v>1</v>
      </c>
      <c r="P396" s="4" t="n">
        <f aca="false">H396+K396+N396</f>
        <v>8304</v>
      </c>
      <c r="Q396" s="4" t="n">
        <f aca="false">Q395+P396</f>
        <v>1201818</v>
      </c>
      <c r="R396" s="4" t="n">
        <f aca="false">Q396-MAX(0,MAX($Q$2:Q396))</f>
        <v>0</v>
      </c>
    </row>
    <row r="397" customFormat="false" ht="15" hidden="false" customHeight="false" outlineLevel="0" collapsed="false">
      <c r="A397" s="7" t="n">
        <v>46014</v>
      </c>
      <c r="B397" s="8" t="n">
        <f aca="false">YEAR(A397)</f>
        <v>2025</v>
      </c>
      <c r="C397" s="8" t="n">
        <f aca="false">MONTH(A397)</f>
        <v>12</v>
      </c>
      <c r="D397" s="8" t="s">
        <v>38</v>
      </c>
      <c r="E397" s="9" t="n">
        <v>26205.2</v>
      </c>
      <c r="F397" s="10" t="n">
        <v>9.68</v>
      </c>
      <c r="G397" s="11" t="n">
        <v>108.7</v>
      </c>
      <c r="H397" s="4" t="n">
        <v>2864</v>
      </c>
      <c r="I397" s="8" t="n">
        <v>1</v>
      </c>
      <c r="J397" s="11" t="n">
        <v>105.2</v>
      </c>
      <c r="K397" s="4" t="n">
        <v>4860</v>
      </c>
      <c r="L397" s="8" t="n">
        <v>0</v>
      </c>
      <c r="M397" s="11" t="n">
        <v>101.5</v>
      </c>
      <c r="N397" s="4" t="n">
        <v>897</v>
      </c>
      <c r="O397" s="8" t="n">
        <v>1</v>
      </c>
      <c r="P397" s="4" t="n">
        <f aca="false">H397+K397+N397</f>
        <v>8621</v>
      </c>
      <c r="Q397" s="4" t="n">
        <f aca="false">Q396+P397</f>
        <v>1210439</v>
      </c>
      <c r="R397" s="4" t="n">
        <f aca="false">Q397-MAX(0,MAX($Q$2:Q397))</f>
        <v>0</v>
      </c>
    </row>
    <row r="398" customFormat="false" ht="15" hidden="false" customHeight="false" outlineLevel="0" collapsed="false">
      <c r="A398" s="7" t="n">
        <v>46021</v>
      </c>
      <c r="B398" s="8" t="n">
        <f aca="false">YEAR(A398)</f>
        <v>2025</v>
      </c>
      <c r="C398" s="8" t="n">
        <f aca="false">MONTH(A398)</f>
        <v>12</v>
      </c>
      <c r="D398" s="8" t="s">
        <v>38</v>
      </c>
      <c r="E398" s="9" t="n">
        <v>25940.9</v>
      </c>
      <c r="F398" s="10" t="n">
        <v>9.72</v>
      </c>
      <c r="G398" s="11" t="n">
        <v>93.7</v>
      </c>
      <c r="H398" s="4" t="n">
        <v>-2142</v>
      </c>
      <c r="I398" s="8" t="n">
        <v>2</v>
      </c>
      <c r="J398" s="11" t="n">
        <v>91.4</v>
      </c>
      <c r="K398" s="4" t="n">
        <v>-2095</v>
      </c>
      <c r="L398" s="8" t="n">
        <v>2</v>
      </c>
      <c r="M398" s="11" t="n">
        <v>89.6</v>
      </c>
      <c r="N398" s="4" t="n">
        <v>2594</v>
      </c>
      <c r="O398" s="8" t="n">
        <v>1</v>
      </c>
      <c r="P398" s="4" t="n">
        <f aca="false">H398+K398+N398</f>
        <v>-1643</v>
      </c>
      <c r="Q398" s="4" t="n">
        <f aca="false">Q397+P398</f>
        <v>1208796</v>
      </c>
      <c r="R398" s="4" t="n">
        <f aca="false">Q398-MAX(0,MAX($Q$2:Q398))</f>
        <v>-1643</v>
      </c>
    </row>
    <row r="399" customFormat="false" ht="15" hidden="false" customHeight="false" outlineLevel="0" collapsed="false">
      <c r="A399" s="7" t="n">
        <v>46028</v>
      </c>
      <c r="B399" s="8" t="n">
        <f aca="false">YEAR(A399)</f>
        <v>2026</v>
      </c>
      <c r="C399" s="8" t="n">
        <f aca="false">MONTH(A399)</f>
        <v>1</v>
      </c>
      <c r="D399" s="8" t="s">
        <v>38</v>
      </c>
      <c r="E399" s="9" t="n">
        <v>26189.7</v>
      </c>
      <c r="F399" s="10" t="n">
        <v>10.02</v>
      </c>
      <c r="G399" s="11" t="n">
        <v>94.1</v>
      </c>
      <c r="H399" s="4" t="n">
        <v>-2150</v>
      </c>
      <c r="I399" s="8" t="n">
        <v>2</v>
      </c>
      <c r="J399" s="11" t="n">
        <v>91.9</v>
      </c>
      <c r="K399" s="4" t="n">
        <v>2348</v>
      </c>
      <c r="L399" s="8" t="n">
        <v>1</v>
      </c>
      <c r="M399" s="11" t="n">
        <v>87.7</v>
      </c>
      <c r="N399" s="4" t="n">
        <v>1136</v>
      </c>
      <c r="O399" s="8" t="n">
        <v>1</v>
      </c>
      <c r="P399" s="4" t="n">
        <f aca="false">H399+K399+N399</f>
        <v>1334</v>
      </c>
      <c r="Q399" s="4" t="n">
        <f aca="false">Q398+P399</f>
        <v>1210130</v>
      </c>
      <c r="R399" s="4" t="n">
        <f aca="false">Q399-MAX(0,MAX($Q$2:Q399))</f>
        <v>-309</v>
      </c>
    </row>
    <row r="400" customFormat="false" ht="15" hidden="false" customHeight="false" outlineLevel="0" collapsed="false">
      <c r="A400" s="7" t="n">
        <v>46035</v>
      </c>
      <c r="B400" s="8" t="n">
        <f aca="false">YEAR(A400)</f>
        <v>2026</v>
      </c>
      <c r="C400" s="8" t="n">
        <f aca="false">MONTH(A400)</f>
        <v>1</v>
      </c>
      <c r="D400" s="8" t="s">
        <v>38</v>
      </c>
      <c r="E400" s="9" t="n">
        <v>25897.4</v>
      </c>
      <c r="F400" s="10" t="n">
        <v>11.37</v>
      </c>
      <c r="G400" s="11" t="n">
        <v>120.5</v>
      </c>
      <c r="H400" s="4" t="n">
        <v>-2691</v>
      </c>
      <c r="I400" s="8" t="n">
        <v>2</v>
      </c>
      <c r="J400" s="11" t="n">
        <v>116.7</v>
      </c>
      <c r="K400" s="4" t="n">
        <v>-2613</v>
      </c>
      <c r="L400" s="8" t="n">
        <v>2</v>
      </c>
      <c r="M400" s="11" t="n">
        <v>111.7</v>
      </c>
      <c r="N400" s="4" t="n">
        <v>2693</v>
      </c>
      <c r="O400" s="8" t="n">
        <v>1</v>
      </c>
      <c r="P400" s="4" t="n">
        <f aca="false">H400+K400+N400</f>
        <v>-2611</v>
      </c>
      <c r="Q400" s="4" t="n">
        <f aca="false">Q399+P400</f>
        <v>1207519</v>
      </c>
      <c r="R400" s="4" t="n">
        <f aca="false">Q400-MAX(0,MAX($Q$2:Q400))</f>
        <v>-2920</v>
      </c>
    </row>
    <row r="401" customFormat="false" ht="15" hidden="false" customHeight="false" outlineLevel="0" collapsed="false">
      <c r="A401" s="7" t="n">
        <v>46042</v>
      </c>
      <c r="B401" s="8" t="n">
        <f aca="false">YEAR(A401)</f>
        <v>2026</v>
      </c>
      <c r="C401" s="8" t="n">
        <f aca="false">MONTH(A401)</f>
        <v>1</v>
      </c>
      <c r="D401" s="8" t="s">
        <v>38</v>
      </c>
      <c r="E401" s="9" t="n">
        <v>25580.3</v>
      </c>
      <c r="F401" s="10" t="n">
        <v>11.83</v>
      </c>
      <c r="G401" s="11" t="n">
        <v>92.7</v>
      </c>
      <c r="H401" s="4" t="n">
        <v>-2122</v>
      </c>
      <c r="I401" s="8" t="n">
        <v>2</v>
      </c>
      <c r="J401" s="11" t="n">
        <v>90.8</v>
      </c>
      <c r="K401" s="4" t="n">
        <v>3027</v>
      </c>
      <c r="L401" s="8" t="n">
        <v>1</v>
      </c>
      <c r="M401" s="11" t="n">
        <v>84.7</v>
      </c>
      <c r="N401" s="4" t="n">
        <v>-1959</v>
      </c>
      <c r="O401" s="8" t="n">
        <v>2</v>
      </c>
      <c r="P401" s="4" t="n">
        <f aca="false">H401+K401+N401</f>
        <v>-1054</v>
      </c>
      <c r="Q401" s="4" t="n">
        <f aca="false">Q400+P401</f>
        <v>1206465</v>
      </c>
      <c r="R401" s="4" t="n">
        <f aca="false">Q401-MAX(0,MAX($Q$2:Q401))</f>
        <v>-3974</v>
      </c>
    </row>
    <row r="402" customFormat="false" ht="15" hidden="false" customHeight="false" outlineLevel="0" collapsed="false">
      <c r="A402" s="7" t="n">
        <v>46049</v>
      </c>
      <c r="B402" s="8" t="n">
        <f aca="false">YEAR(A402)</f>
        <v>2026</v>
      </c>
      <c r="C402" s="8" t="n">
        <f aca="false">MONTH(A402)</f>
        <v>1</v>
      </c>
      <c r="D402" s="8" t="s">
        <v>38</v>
      </c>
      <c r="E402" s="9" t="n">
        <v>25063.4</v>
      </c>
      <c r="F402" s="10" t="n">
        <v>14.19</v>
      </c>
      <c r="G402" s="11" t="n">
        <v>205.8</v>
      </c>
      <c r="H402" s="4" t="n">
        <v>2432</v>
      </c>
      <c r="I402" s="8" t="n">
        <v>1</v>
      </c>
      <c r="J402" s="11" t="n">
        <v>200</v>
      </c>
      <c r="K402" s="4" t="n">
        <v>1493</v>
      </c>
      <c r="L402" s="8" t="n">
        <v>1</v>
      </c>
      <c r="M402" s="11" t="n">
        <v>190.7</v>
      </c>
      <c r="N402" s="4" t="n">
        <v>1183</v>
      </c>
      <c r="O402" s="8" t="n">
        <v>1</v>
      </c>
      <c r="P402" s="4" t="n">
        <f aca="false">H402+K402+N402</f>
        <v>5108</v>
      </c>
      <c r="Q402" s="4" t="n">
        <f aca="false">Q401+P402</f>
        <v>1211573</v>
      </c>
      <c r="R402" s="4" t="n">
        <f aca="false">Q402-MAX(0,MAX($Q$2:Q402))</f>
        <v>0</v>
      </c>
    </row>
    <row r="403" customFormat="false" ht="15" hidden="false" customHeight="false" outlineLevel="0" collapsed="false">
      <c r="A403" s="7" t="n">
        <v>46056</v>
      </c>
      <c r="B403" s="8" t="n">
        <f aca="false">YEAR(A403)</f>
        <v>2026</v>
      </c>
      <c r="C403" s="8" t="n">
        <f aca="false">MONTH(A403)</f>
        <v>2</v>
      </c>
      <c r="D403" s="8" t="s">
        <v>38</v>
      </c>
      <c r="E403" s="9" t="n">
        <v>26308</v>
      </c>
      <c r="F403" s="10" t="n">
        <v>13.87</v>
      </c>
      <c r="G403" s="11" t="n">
        <v>360.8</v>
      </c>
      <c r="H403" s="4" t="n">
        <v>18094</v>
      </c>
      <c r="I403" s="8" t="n">
        <v>0</v>
      </c>
      <c r="J403" s="11" t="n">
        <v>349.4</v>
      </c>
      <c r="K403" s="4" t="n">
        <v>5438</v>
      </c>
      <c r="L403" s="8" t="n">
        <v>1</v>
      </c>
      <c r="M403" s="11" t="n">
        <v>334.5</v>
      </c>
      <c r="N403" s="4" t="n">
        <v>15015</v>
      </c>
      <c r="O403" s="8" t="n">
        <v>0</v>
      </c>
      <c r="P403" s="4" t="n">
        <f aca="false">H403+K403+N403</f>
        <v>38547</v>
      </c>
      <c r="Q403" s="4" t="n">
        <f aca="false">Q402+P403</f>
        <v>1250120</v>
      </c>
      <c r="R403" s="4" t="n">
        <f aca="false">Q403-MAX(0,MAX($Q$2:Q403))</f>
        <v>0</v>
      </c>
    </row>
    <row r="404" customFormat="false" ht="15" hidden="false" customHeight="false" outlineLevel="0" collapsed="false">
      <c r="A404" s="7" t="n">
        <v>46063</v>
      </c>
      <c r="B404" s="8" t="n">
        <f aca="false">YEAR(A404)</f>
        <v>2026</v>
      </c>
      <c r="C404" s="8" t="n">
        <f aca="false">MONTH(A404)</f>
        <v>2</v>
      </c>
      <c r="D404" s="8" t="s">
        <v>38</v>
      </c>
      <c r="E404" s="9" t="n">
        <v>25922.6</v>
      </c>
      <c r="F404" s="10" t="n">
        <v>12.19</v>
      </c>
      <c r="G404" s="11" t="n">
        <v>118.8</v>
      </c>
      <c r="H404" s="4" t="n">
        <v>5680</v>
      </c>
      <c r="I404" s="8" t="n">
        <v>0</v>
      </c>
      <c r="J404" s="11" t="n">
        <v>115.5</v>
      </c>
      <c r="K404" s="4" t="n">
        <v>5469</v>
      </c>
      <c r="L404" s="8" t="n">
        <v>0</v>
      </c>
      <c r="M404" s="11" t="n">
        <v>110.9</v>
      </c>
      <c r="N404" s="4" t="n">
        <v>1436</v>
      </c>
      <c r="O404" s="8" t="n">
        <v>1</v>
      </c>
      <c r="P404" s="4" t="n">
        <f aca="false">H404+K404+N404</f>
        <v>12585</v>
      </c>
      <c r="Q404" s="4" t="n">
        <f aca="false">Q403+P404</f>
        <v>1262705</v>
      </c>
      <c r="R404" s="4" t="n">
        <f aca="false">Q404-MAX(0,MAX($Q$2:Q404))</f>
        <v>0</v>
      </c>
    </row>
    <row r="405" customFormat="false" ht="15" hidden="false" customHeight="false" outlineLevel="0" collapsed="false">
      <c r="A405" s="7" t="n">
        <v>46070</v>
      </c>
      <c r="B405" s="8" t="n">
        <f aca="false">YEAR(A405)</f>
        <v>2026</v>
      </c>
      <c r="C405" s="8" t="n">
        <f aca="false">MONTH(A405)</f>
        <v>2</v>
      </c>
      <c r="D405" s="8" t="s">
        <v>38</v>
      </c>
      <c r="E405" s="9" t="n">
        <v>25638</v>
      </c>
      <c r="F405" s="10" t="n">
        <v>13.33</v>
      </c>
      <c r="G405" s="11" t="n">
        <v>150.8</v>
      </c>
      <c r="H405" s="4" t="n">
        <v>3173</v>
      </c>
      <c r="I405" s="8" t="n">
        <v>1</v>
      </c>
      <c r="J405" s="11" t="n">
        <v>147.1</v>
      </c>
      <c r="K405" s="4" t="n">
        <v>2261</v>
      </c>
      <c r="L405" s="8" t="n">
        <v>1</v>
      </c>
      <c r="M405" s="11" t="n">
        <v>140.3</v>
      </c>
      <c r="N405" s="4" t="n">
        <v>1470</v>
      </c>
      <c r="O405" s="8" t="n">
        <v>1</v>
      </c>
      <c r="P405" s="4" t="n">
        <f aca="false">H405+K405+N405</f>
        <v>6904</v>
      </c>
      <c r="Q405" s="4" t="n">
        <f aca="false">Q404+P405</f>
        <v>1269609</v>
      </c>
      <c r="R405" s="4" t="n">
        <f aca="false">Q405-MAX(0,MAX($Q$2:Q405))</f>
        <v>0</v>
      </c>
    </row>
    <row r="406" customFormat="false" ht="15" hidden="false" customHeight="false" outlineLevel="0" collapsed="false">
      <c r="A406" s="7" t="n">
        <v>46077</v>
      </c>
      <c r="B406" s="8" t="n">
        <f aca="false">YEAR(A406)</f>
        <v>2026</v>
      </c>
      <c r="C406" s="8" t="n">
        <f aca="false">MONTH(A406)</f>
        <v>2</v>
      </c>
      <c r="D406" s="8" t="s">
        <v>38</v>
      </c>
      <c r="E406" s="9" t="n">
        <v>25641.8</v>
      </c>
      <c r="F406" s="10" t="n">
        <v>14.17</v>
      </c>
      <c r="G406" s="11" t="n">
        <v>147.8</v>
      </c>
      <c r="H406" s="4" t="n">
        <v>3310</v>
      </c>
      <c r="I406" s="8" t="n">
        <v>1</v>
      </c>
      <c r="J406" s="11" t="n">
        <v>144.2</v>
      </c>
      <c r="K406" s="4" t="n">
        <v>3768</v>
      </c>
      <c r="L406" s="8" t="n">
        <v>1</v>
      </c>
      <c r="M406" s="11" t="n">
        <v>136.7</v>
      </c>
      <c r="N406" s="4" t="n">
        <v>2997</v>
      </c>
      <c r="O406" s="8" t="n">
        <v>1</v>
      </c>
      <c r="P406" s="4" t="n">
        <f aca="false">H406+K406+N406</f>
        <v>10075</v>
      </c>
      <c r="Q406" s="4" t="n">
        <f aca="false">Q405+P406</f>
        <v>1279684</v>
      </c>
      <c r="R406" s="4" t="n">
        <f aca="false">Q406-MAX(0,MAX($Q$2:Q406))</f>
        <v>0</v>
      </c>
    </row>
    <row r="407" customFormat="false" ht="15" hidden="false" customHeight="false" outlineLevel="0" collapsed="false">
      <c r="A407" s="7" t="n">
        <v>46083</v>
      </c>
      <c r="B407" s="8" t="n">
        <f aca="false">YEAR(A407)</f>
        <v>2026</v>
      </c>
      <c r="C407" s="8" t="n">
        <f aca="false">MONTH(A407)</f>
        <v>3</v>
      </c>
      <c r="D407" s="8" t="s">
        <v>39</v>
      </c>
      <c r="E407" s="9" t="n">
        <v>24659.2</v>
      </c>
      <c r="F407" s="10" t="n">
        <v>13.7</v>
      </c>
      <c r="G407" s="11" t="n">
        <v>327.3</v>
      </c>
      <c r="H407" s="4" t="n">
        <v>6850</v>
      </c>
      <c r="I407" s="8" t="n">
        <v>1</v>
      </c>
      <c r="J407" s="11" t="n">
        <v>316.6</v>
      </c>
      <c r="K407" s="4" t="n">
        <v>4608</v>
      </c>
      <c r="L407" s="8" t="n">
        <v>1</v>
      </c>
      <c r="M407" s="11" t="n">
        <v>302.1</v>
      </c>
      <c r="N407" s="4" t="n">
        <v>3262</v>
      </c>
      <c r="O407" s="8" t="n">
        <v>1</v>
      </c>
      <c r="P407" s="4" t="n">
        <f aca="false">H407+K407+N407</f>
        <v>14720</v>
      </c>
      <c r="Q407" s="4" t="n">
        <f aca="false">Q406+P407</f>
        <v>1294404</v>
      </c>
      <c r="R407" s="4" t="n">
        <f aca="false">Q407-MAX(0,MAX($Q$2:Q407))</f>
        <v>0</v>
      </c>
    </row>
    <row r="408" customFormat="false" ht="15" hidden="false" customHeight="false" outlineLevel="0" collapsed="false">
      <c r="A408" s="7" t="n">
        <v>46091</v>
      </c>
      <c r="B408" s="8" t="n">
        <f aca="false">YEAR(A408)</f>
        <v>2026</v>
      </c>
      <c r="C408" s="8" t="n">
        <f aca="false">MONTH(A408)</f>
        <v>3</v>
      </c>
      <c r="D408" s="8" t="s">
        <v>38</v>
      </c>
      <c r="E408" s="9" t="n">
        <v>24280.8</v>
      </c>
      <c r="F408" s="10" t="n">
        <v>23.36</v>
      </c>
      <c r="G408" s="11" t="n">
        <v>256.4</v>
      </c>
      <c r="H408" s="4" t="n">
        <v>9220</v>
      </c>
      <c r="I408" s="8" t="n">
        <v>0</v>
      </c>
      <c r="J408" s="11" t="n">
        <v>248.9</v>
      </c>
      <c r="K408" s="4" t="n">
        <v>5795</v>
      </c>
      <c r="L408" s="8" t="n">
        <v>1</v>
      </c>
      <c r="M408" s="11" t="n">
        <v>237.6</v>
      </c>
      <c r="N408" s="4" t="n">
        <v>10499</v>
      </c>
      <c r="O408" s="8" t="n">
        <v>0</v>
      </c>
      <c r="P408" s="4" t="n">
        <f aca="false">H408+K408+N408</f>
        <v>25514</v>
      </c>
      <c r="Q408" s="4" t="n">
        <f aca="false">Q407+P408</f>
        <v>1319918</v>
      </c>
      <c r="R408" s="4" t="n">
        <f aca="false">Q408-MAX(0,MAX($Q$2:Q408))</f>
        <v>0</v>
      </c>
    </row>
    <row r="409" customFormat="false" ht="15" hidden="false" customHeight="false" outlineLevel="0" collapsed="false">
      <c r="A409" s="7" t="n">
        <v>46098</v>
      </c>
      <c r="B409" s="8" t="n">
        <f aca="false">YEAR(A409)</f>
        <v>2026</v>
      </c>
      <c r="C409" s="8" t="n">
        <f aca="false">MONTH(A409)</f>
        <v>3</v>
      </c>
      <c r="D409" s="8" t="s">
        <v>38</v>
      </c>
      <c r="E409" s="9" t="n">
        <v>23493.2</v>
      </c>
      <c r="F409" s="10" t="n">
        <v>21.6</v>
      </c>
      <c r="G409" s="11" t="n">
        <v>236.6</v>
      </c>
      <c r="H409" s="4" t="n">
        <v>-5067</v>
      </c>
      <c r="I409" s="8" t="n">
        <v>2</v>
      </c>
      <c r="J409" s="11" t="n">
        <v>230.5</v>
      </c>
      <c r="K409" s="4" t="n">
        <v>-1418</v>
      </c>
      <c r="L409" s="8" t="n">
        <v>1</v>
      </c>
      <c r="M409" s="11" t="n">
        <v>219.6</v>
      </c>
      <c r="N409" s="4" t="n">
        <v>-4720</v>
      </c>
      <c r="O409" s="8" t="n">
        <v>2</v>
      </c>
      <c r="P409" s="4" t="n">
        <f aca="false">H409+K409+N409</f>
        <v>-11205</v>
      </c>
      <c r="Q409" s="4" t="n">
        <f aca="false">Q408+P409</f>
        <v>1308713</v>
      </c>
      <c r="R409" s="4" t="n">
        <f aca="false">Q409-MAX(0,MAX($Q$2:Q409))</f>
        <v>-11205</v>
      </c>
    </row>
    <row r="410" customFormat="false" ht="15" hidden="false" customHeight="false" outlineLevel="0" collapsed="false">
      <c r="A410" s="7" t="n">
        <v>46105</v>
      </c>
      <c r="B410" s="8" t="n">
        <f aca="false">YEAR(A410)</f>
        <v>2026</v>
      </c>
      <c r="C410" s="8" t="n">
        <f aca="false">MONTH(A410)</f>
        <v>3</v>
      </c>
      <c r="D410" s="8" t="s">
        <v>38</v>
      </c>
      <c r="E410" s="9" t="n">
        <v>22878.4</v>
      </c>
      <c r="F410" s="10" t="n">
        <v>26.73</v>
      </c>
      <c r="G410" s="11" t="n">
        <v>281</v>
      </c>
      <c r="H410" s="4" t="n">
        <v>-5976</v>
      </c>
      <c r="I410" s="8" t="n">
        <v>2</v>
      </c>
      <c r="J410" s="11" t="n">
        <v>272.3</v>
      </c>
      <c r="K410" s="4" t="n">
        <v>5361</v>
      </c>
      <c r="L410" s="8" t="n">
        <v>1</v>
      </c>
      <c r="M410" s="11" t="n">
        <v>259.3</v>
      </c>
      <c r="N410" s="4" t="n">
        <v>4674</v>
      </c>
      <c r="O410" s="8" t="n">
        <v>1</v>
      </c>
      <c r="P410" s="4" t="n">
        <f aca="false">H410+K410+N410</f>
        <v>4059</v>
      </c>
      <c r="Q410" s="4" t="n">
        <f aca="false">Q409+P410</f>
        <v>1312772</v>
      </c>
      <c r="R410" s="4" t="n">
        <f aca="false">Q410-MAX(0,MAX($Q$2:Q410))</f>
        <v>-7146</v>
      </c>
    </row>
    <row r="411" customFormat="false" ht="15" hidden="false" customHeight="false" outlineLevel="0" collapsed="false">
      <c r="A411" s="7" t="n">
        <v>46111</v>
      </c>
      <c r="B411" s="8" t="n">
        <f aca="false">YEAR(A411)</f>
        <v>2026</v>
      </c>
      <c r="C411" s="8" t="n">
        <f aca="false">MONTH(A411)</f>
        <v>3</v>
      </c>
      <c r="D411" s="8" t="s">
        <v>39</v>
      </c>
      <c r="E411" s="9" t="n">
        <v>22549.6</v>
      </c>
      <c r="F411" s="10" t="n">
        <v>26.8</v>
      </c>
      <c r="G411" s="11" t="n">
        <v>359.9</v>
      </c>
      <c r="H411" s="4" t="n">
        <v>8410</v>
      </c>
      <c r="I411" s="8" t="n">
        <v>1</v>
      </c>
      <c r="J411" s="11" t="n">
        <v>349.1</v>
      </c>
      <c r="K411" s="4" t="n">
        <v>7751</v>
      </c>
      <c r="L411" s="8" t="n">
        <v>1</v>
      </c>
      <c r="M411" s="11" t="n">
        <v>331.2</v>
      </c>
      <c r="N411" s="4" t="n">
        <v>6391</v>
      </c>
      <c r="O411" s="8" t="n">
        <v>1</v>
      </c>
      <c r="P411" s="4" t="n">
        <f aca="false">H411+K411+N411</f>
        <v>22552</v>
      </c>
      <c r="Q411" s="4" t="n">
        <f aca="false">Q410+P411</f>
        <v>1335324</v>
      </c>
      <c r="R411" s="4" t="n">
        <f aca="false">Q411-MAX(0,MAX($Q$2:Q411))</f>
        <v>0</v>
      </c>
    </row>
    <row r="412" customFormat="false" ht="15" hidden="false" customHeight="false" outlineLevel="0" collapsed="false">
      <c r="A412" s="7" t="n">
        <v>46119</v>
      </c>
      <c r="B412" s="8" t="n">
        <f aca="false">YEAR(A412)</f>
        <v>2026</v>
      </c>
      <c r="C412" s="8" t="n">
        <f aca="false">MONTH(A412)</f>
        <v>4</v>
      </c>
      <c r="D412" s="8" t="s">
        <v>38</v>
      </c>
      <c r="E412" s="9" t="n">
        <v>22838.7</v>
      </c>
      <c r="F412" s="10" t="n">
        <v>25.47</v>
      </c>
      <c r="G412" s="11" t="n">
        <v>236.8</v>
      </c>
      <c r="H412" s="4" t="n">
        <v>4668</v>
      </c>
      <c r="I412" s="8" t="n">
        <v>1</v>
      </c>
      <c r="J412" s="11" t="n">
        <v>231.4</v>
      </c>
      <c r="K412" s="4" t="n">
        <v>-4960</v>
      </c>
      <c r="L412" s="8" t="n">
        <v>2</v>
      </c>
      <c r="M412" s="11" t="n">
        <v>220.5</v>
      </c>
      <c r="N412" s="4" t="n">
        <v>-4739</v>
      </c>
      <c r="O412" s="8" t="n">
        <v>2</v>
      </c>
      <c r="P412" s="4" t="n">
        <f aca="false">H412+K412+N412</f>
        <v>-5031</v>
      </c>
      <c r="Q412" s="4" t="n">
        <f aca="false">Q411+P412</f>
        <v>1330293</v>
      </c>
      <c r="R412" s="4" t="n">
        <f aca="false">Q412-MAX(0,MAX($Q$2:Q412))</f>
        <v>-5031</v>
      </c>
    </row>
    <row r="413" customFormat="false" ht="15" hidden="false" customHeight="false" outlineLevel="0" collapsed="false">
      <c r="A413" s="7" t="n">
        <v>46125</v>
      </c>
      <c r="B413" s="8" t="n">
        <f aca="false">YEAR(A413)</f>
        <v>2026</v>
      </c>
      <c r="C413" s="8" t="n">
        <f aca="false">MONTH(A413)</f>
        <v>4</v>
      </c>
      <c r="D413" s="8" t="s">
        <v>39</v>
      </c>
      <c r="E413" s="9" t="n">
        <v>23589.6</v>
      </c>
      <c r="F413" s="10" t="n">
        <v>18.85</v>
      </c>
      <c r="G413" s="11" t="n">
        <v>288.1</v>
      </c>
      <c r="H413" s="4" t="n">
        <v>6600</v>
      </c>
      <c r="I413" s="8" t="n">
        <v>1</v>
      </c>
      <c r="J413" s="11" t="n">
        <v>280.7</v>
      </c>
      <c r="K413" s="4" t="n">
        <v>4819</v>
      </c>
      <c r="L413" s="8" t="n">
        <v>1</v>
      </c>
      <c r="M413" s="11" t="n">
        <v>267.6</v>
      </c>
      <c r="N413" s="4" t="n">
        <v>4814</v>
      </c>
      <c r="O413" s="8" t="n">
        <v>1</v>
      </c>
      <c r="P413" s="4" t="n">
        <f aca="false">H413+K413+N413</f>
        <v>16233</v>
      </c>
      <c r="Q413" s="4" t="n">
        <f aca="false">Q412+P413</f>
        <v>1346526</v>
      </c>
      <c r="R413" s="4" t="n">
        <f aca="false">Q413-MAX(0,MAX($Q$2:Q413))</f>
        <v>0</v>
      </c>
    </row>
    <row r="414" customFormat="false" ht="15" hidden="false" customHeight="false" outlineLevel="0" collapsed="false">
      <c r="A414" s="7" t="n">
        <v>46133</v>
      </c>
      <c r="B414" s="8" t="n">
        <f aca="false">YEAR(A414)</f>
        <v>2026</v>
      </c>
      <c r="C414" s="8" t="n">
        <f aca="false">MONTH(A414)</f>
        <v>4</v>
      </c>
      <c r="D414" s="8" t="s">
        <v>38</v>
      </c>
      <c r="E414" s="9" t="n">
        <v>24374.6</v>
      </c>
      <c r="F414" s="10" t="n">
        <v>18.79</v>
      </c>
      <c r="G414" s="11" t="n">
        <v>223</v>
      </c>
      <c r="H414" s="4" t="n">
        <v>3779</v>
      </c>
      <c r="I414" s="8" t="n">
        <v>1</v>
      </c>
      <c r="J414" s="11" t="n">
        <v>216.9</v>
      </c>
      <c r="K414" s="4" t="n">
        <v>8668</v>
      </c>
      <c r="L414" s="8" t="n">
        <v>0</v>
      </c>
      <c r="M414" s="11" t="n">
        <v>206.7</v>
      </c>
      <c r="N414" s="4" t="n">
        <v>9910</v>
      </c>
      <c r="O414" s="8" t="n">
        <v>0</v>
      </c>
      <c r="P414" s="4" t="n">
        <f aca="false">H414+K414+N414</f>
        <v>22357</v>
      </c>
      <c r="Q414" s="4" t="n">
        <f aca="false">Q413+P414</f>
        <v>1368883</v>
      </c>
      <c r="R414" s="4" t="n">
        <f aca="false">Q414-MAX(0,MAX($Q$2:Q414))</f>
        <v>0</v>
      </c>
    </row>
    <row r="415" customFormat="false" ht="15" hidden="false" customHeight="false" outlineLevel="0" collapsed="false">
      <c r="A415" s="7" t="n">
        <v>46140</v>
      </c>
      <c r="B415" s="8" t="n">
        <f aca="false">YEAR(A415)</f>
        <v>2026</v>
      </c>
      <c r="C415" s="8" t="n">
        <f aca="false">MONTH(A415)</f>
        <v>4</v>
      </c>
      <c r="D415" s="8" t="s">
        <v>38</v>
      </c>
      <c r="E415" s="9" t="n">
        <v>24049.9</v>
      </c>
      <c r="F415" s="10" t="n">
        <v>18.38</v>
      </c>
      <c r="G415" s="11" t="n">
        <v>153</v>
      </c>
      <c r="H415" s="4" t="n">
        <v>-3356</v>
      </c>
      <c r="I415" s="8" t="n">
        <v>2</v>
      </c>
      <c r="J415" s="11" t="n">
        <v>148.5</v>
      </c>
      <c r="K415" s="4" t="n">
        <v>3540</v>
      </c>
      <c r="L415" s="8" t="n">
        <v>1</v>
      </c>
      <c r="M415" s="11" t="n">
        <v>141.3</v>
      </c>
      <c r="N415" s="4" t="n">
        <v>3245</v>
      </c>
      <c r="O415" s="8" t="n">
        <v>1</v>
      </c>
      <c r="P415" s="4" t="n">
        <f aca="false">H415+K415+N415</f>
        <v>3429</v>
      </c>
      <c r="Q415" s="4" t="n">
        <f aca="false">Q414+P415</f>
        <v>1372312</v>
      </c>
      <c r="R415" s="4" t="n">
        <f aca="false">Q415-MAX(0,MAX($Q$2:Q415))</f>
        <v>0</v>
      </c>
    </row>
    <row r="416" customFormat="false" ht="15" hidden="false" customHeight="false" outlineLevel="0" collapsed="false">
      <c r="A416" s="7" t="n">
        <v>46147</v>
      </c>
      <c r="B416" s="8" t="n">
        <f aca="false">YEAR(A416)</f>
        <v>2026</v>
      </c>
      <c r="C416" s="8" t="n">
        <f aca="false">MONTH(A416)</f>
        <v>5</v>
      </c>
      <c r="D416" s="8" t="s">
        <v>38</v>
      </c>
      <c r="E416" s="9" t="n">
        <v>24052.6</v>
      </c>
      <c r="F416" s="10" t="n">
        <v>18.3</v>
      </c>
      <c r="G416" s="11" t="n">
        <v>161.1</v>
      </c>
      <c r="H416" s="4" t="n">
        <v>1225</v>
      </c>
      <c r="I416" s="8" t="n">
        <v>1</v>
      </c>
      <c r="J416" s="11" t="n">
        <v>156.2</v>
      </c>
      <c r="K416" s="4" t="n">
        <v>1012</v>
      </c>
      <c r="L416" s="8" t="n">
        <v>1</v>
      </c>
      <c r="M416" s="11" t="n">
        <v>147.9</v>
      </c>
      <c r="N416" s="4" t="n">
        <v>-3253</v>
      </c>
      <c r="O416" s="8" t="n">
        <v>2</v>
      </c>
      <c r="P416" s="4" t="n">
        <f aca="false">H416+K416+N416</f>
        <v>-1016</v>
      </c>
      <c r="Q416" s="4" t="n">
        <f aca="false">Q415+P416</f>
        <v>1371296</v>
      </c>
      <c r="R416" s="4" t="n">
        <f aca="false">Q416-MAX(0,MAX($Q$2:Q416))</f>
        <v>-1016</v>
      </c>
    </row>
    <row r="417" customFormat="false" ht="15" hidden="false" customHeight="false" outlineLevel="0" collapsed="false">
      <c r="A417" s="7" t="n">
        <v>46154</v>
      </c>
      <c r="B417" s="8" t="n">
        <f aca="false">YEAR(A417)</f>
        <v>2026</v>
      </c>
      <c r="C417" s="8" t="n">
        <f aca="false">MONTH(A417)</f>
        <v>5</v>
      </c>
      <c r="D417" s="8" t="s">
        <v>38</v>
      </c>
      <c r="E417" s="9" t="n">
        <v>23722.6</v>
      </c>
      <c r="F417" s="10" t="n">
        <v>18.55</v>
      </c>
      <c r="G417" s="11" t="n">
        <v>180.4</v>
      </c>
      <c r="H417" s="4" t="n">
        <v>3629</v>
      </c>
      <c r="I417" s="8" t="n">
        <v>1</v>
      </c>
      <c r="J417" s="11" t="n">
        <v>175.4</v>
      </c>
      <c r="K417" s="4" t="n">
        <v>3065</v>
      </c>
      <c r="L417" s="8" t="n">
        <v>1</v>
      </c>
      <c r="M417" s="11" t="n">
        <v>166.9</v>
      </c>
      <c r="N417" s="4" t="n">
        <v>4081</v>
      </c>
      <c r="O417" s="8" t="n">
        <v>1</v>
      </c>
      <c r="P417" s="4" t="n">
        <f aca="false">H417+K417+N417</f>
        <v>10775</v>
      </c>
      <c r="Q417" s="4" t="n">
        <f aca="false">Q416+P417</f>
        <v>1382071</v>
      </c>
      <c r="R417" s="4" t="n">
        <f aca="false">Q417-MAX(0,MAX($Q$2:Q417))</f>
        <v>0</v>
      </c>
    </row>
    <row r="418" customFormat="false" ht="15" hidden="false" customHeight="false" outlineLevel="0" collapsed="false">
      <c r="A418" s="7" t="n">
        <v>46161</v>
      </c>
      <c r="B418" s="8" t="n">
        <f aca="false">YEAR(A418)</f>
        <v>2026</v>
      </c>
      <c r="C418" s="8" t="n">
        <f aca="false">MONTH(A418)</f>
        <v>5</v>
      </c>
      <c r="D418" s="8" t="s">
        <v>38</v>
      </c>
      <c r="E418" s="9" t="n">
        <v>23675.3</v>
      </c>
      <c r="F418" s="10" t="n">
        <v>19.63</v>
      </c>
      <c r="G418" s="11" t="n">
        <v>183.8</v>
      </c>
      <c r="H418" s="4" t="n">
        <v>4148</v>
      </c>
      <c r="I418" s="8" t="n">
        <v>1</v>
      </c>
      <c r="J418" s="11" t="n">
        <v>178</v>
      </c>
      <c r="K418" s="4" t="n">
        <v>-1456</v>
      </c>
      <c r="L418" s="8" t="n">
        <v>1</v>
      </c>
      <c r="M418" s="11" t="n">
        <v>169.9</v>
      </c>
      <c r="N418" s="4" t="n">
        <v>3579</v>
      </c>
      <c r="O418" s="8" t="n">
        <v>1</v>
      </c>
      <c r="P418" s="4" t="n">
        <f aca="false">H418+K418+N418</f>
        <v>6271</v>
      </c>
      <c r="Q418" s="4" t="n">
        <f aca="false">Q417+P418</f>
        <v>1388342</v>
      </c>
      <c r="R418" s="4" t="n">
        <f aca="false">Q418-MAX(0,MAX($Q$2:Q418))</f>
        <v>0</v>
      </c>
    </row>
    <row r="419" customFormat="false" ht="15" hidden="false" customHeight="false" outlineLevel="0" collapsed="false">
      <c r="A419" s="7" t="n">
        <v>46168</v>
      </c>
      <c r="B419" s="8" t="n">
        <f aca="false">YEAR(A419)</f>
        <v>2026</v>
      </c>
      <c r="C419" s="8" t="n">
        <f aca="false">MONTH(A419)</f>
        <v>5</v>
      </c>
      <c r="D419" s="8" t="s">
        <v>38</v>
      </c>
      <c r="E419" s="9" t="n">
        <v>24004.1</v>
      </c>
      <c r="F419" s="10" t="n">
        <v>16.7</v>
      </c>
      <c r="G419" s="11" t="n">
        <v>134</v>
      </c>
      <c r="H419" s="4" t="n">
        <v>3526</v>
      </c>
      <c r="I419" s="8" t="n">
        <v>1</v>
      </c>
      <c r="J419" s="11" t="n">
        <v>129.3</v>
      </c>
      <c r="K419" s="4" t="n">
        <v>2846</v>
      </c>
      <c r="L419" s="8" t="n">
        <v>1</v>
      </c>
      <c r="M419" s="11" t="n">
        <v>124</v>
      </c>
      <c r="N419" s="4" t="n">
        <v>1829</v>
      </c>
      <c r="O419" s="8" t="n">
        <v>1</v>
      </c>
      <c r="P419" s="4" t="n">
        <f aca="false">H419+K419+N419</f>
        <v>8201</v>
      </c>
      <c r="Q419" s="4" t="n">
        <f aca="false">Q418+P419</f>
        <v>1396543</v>
      </c>
      <c r="R419" s="4" t="n">
        <f aca="false">Q419-MAX(0,MAX($Q$2:Q419))</f>
        <v>0</v>
      </c>
    </row>
    <row r="420" customFormat="false" ht="15" hidden="false" customHeight="false" outlineLevel="0" collapsed="false">
      <c r="A420" s="7" t="n">
        <v>46175</v>
      </c>
      <c r="B420" s="8" t="n">
        <f aca="false">YEAR(A420)</f>
        <v>2026</v>
      </c>
      <c r="C420" s="8" t="n">
        <f aca="false">MONTH(A420)</f>
        <v>6</v>
      </c>
      <c r="D420" s="8" t="s">
        <v>38</v>
      </c>
      <c r="E420" s="9" t="n">
        <v>23229.2</v>
      </c>
      <c r="F420" s="10" t="n">
        <v>16.54</v>
      </c>
      <c r="G420" s="11" t="n">
        <v>145.8</v>
      </c>
      <c r="H420" s="4" t="n">
        <v>2707</v>
      </c>
      <c r="I420" s="8" t="n">
        <v>1</v>
      </c>
      <c r="J420" s="11" t="n">
        <v>142.7</v>
      </c>
      <c r="K420" s="4" t="n">
        <v>-3146</v>
      </c>
      <c r="L420" s="8" t="n">
        <v>2</v>
      </c>
      <c r="M420" s="11" t="n">
        <v>135</v>
      </c>
      <c r="N420" s="4" t="n">
        <v>-2988</v>
      </c>
      <c r="O420" s="8" t="n">
        <v>2</v>
      </c>
      <c r="P420" s="4" t="n">
        <f aca="false">H420+K420+N420</f>
        <v>-3427</v>
      </c>
      <c r="Q420" s="4" t="n">
        <f aca="false">Q419+P420</f>
        <v>1393116</v>
      </c>
      <c r="R420" s="4" t="n">
        <f aca="false">Q420-MAX(0,MAX($Q$2:Q420))</f>
        <v>-3427</v>
      </c>
    </row>
    <row r="421" customFormat="false" ht="15" hidden="false" customHeight="false" outlineLevel="0" collapsed="false">
      <c r="A421" s="7" t="n">
        <v>46182</v>
      </c>
      <c r="B421" s="8" t="n">
        <f aca="false">YEAR(A421)</f>
        <v>2026</v>
      </c>
      <c r="C421" s="8" t="n">
        <f aca="false">MONTH(A421)</f>
        <v>6</v>
      </c>
      <c r="D421" s="8" t="s">
        <v>38</v>
      </c>
      <c r="E421" s="9" t="n">
        <v>23259</v>
      </c>
      <c r="F421" s="10" t="n">
        <v>17.03</v>
      </c>
      <c r="G421" s="11" t="n">
        <v>157.5</v>
      </c>
      <c r="H421" s="4" t="n">
        <v>367</v>
      </c>
      <c r="I421" s="8" t="n">
        <v>1</v>
      </c>
      <c r="J421" s="11" t="n">
        <v>153.7</v>
      </c>
      <c r="K421" s="4" t="n">
        <v>-3371</v>
      </c>
      <c r="L421" s="8" t="n">
        <v>2</v>
      </c>
      <c r="M421" s="11" t="n">
        <v>145.7</v>
      </c>
      <c r="N421" s="4" t="n">
        <v>-3207</v>
      </c>
      <c r="O421" s="8" t="n">
        <v>2</v>
      </c>
      <c r="P421" s="4" t="n">
        <f aca="false">H421+K421+N421</f>
        <v>-6211</v>
      </c>
      <c r="Q421" s="4" t="n">
        <f aca="false">Q420+P421</f>
        <v>1386905</v>
      </c>
      <c r="R421" s="4" t="n">
        <f aca="false">Q421-MAX(0,MAX($Q$2:Q421))</f>
        <v>-9638</v>
      </c>
    </row>
    <row r="422" customFormat="false" ht="15" hidden="false" customHeight="false" outlineLevel="0" collapsed="false">
      <c r="A422" s="7" t="n">
        <v>46189</v>
      </c>
      <c r="B422" s="8" t="n">
        <f aca="false">YEAR(A422)</f>
        <v>2026</v>
      </c>
      <c r="C422" s="8" t="n">
        <f aca="false">MONTH(A422)</f>
        <v>6</v>
      </c>
      <c r="D422" s="8" t="s">
        <v>38</v>
      </c>
      <c r="E422" s="9" t="n">
        <v>23923.9</v>
      </c>
      <c r="F422" s="10" t="n">
        <v>14.35</v>
      </c>
      <c r="G422" s="11" t="n">
        <v>125.1</v>
      </c>
      <c r="H422" s="4" t="n">
        <v>1547</v>
      </c>
      <c r="I422" s="8" t="n">
        <v>1</v>
      </c>
      <c r="J422" s="11" t="n">
        <v>120.4</v>
      </c>
      <c r="K422" s="4" t="n">
        <v>1956</v>
      </c>
      <c r="L422" s="8" t="n">
        <v>1</v>
      </c>
      <c r="M422" s="11" t="n">
        <v>114.7</v>
      </c>
      <c r="N422" s="4" t="n">
        <v>32</v>
      </c>
      <c r="O422" s="8" t="n">
        <v>1</v>
      </c>
      <c r="P422" s="4" t="n">
        <f aca="false">H422+K422+N422</f>
        <v>3535</v>
      </c>
      <c r="Q422" s="4" t="n">
        <f aca="false">Q421+P422</f>
        <v>1390440</v>
      </c>
      <c r="R422" s="4" t="n">
        <f aca="false">Q422-MAX(0,MAX($Q$2:Q422))</f>
        <v>-6103</v>
      </c>
    </row>
    <row r="423" customFormat="false" ht="15" hidden="false" customHeight="false" outlineLevel="0" collapsed="false">
      <c r="A423" s="7" t="n">
        <v>46196</v>
      </c>
      <c r="B423" s="8" t="n">
        <f aca="false">YEAR(A423)</f>
        <v>2026</v>
      </c>
      <c r="C423" s="8" t="n">
        <f aca="false">MONTH(A423)</f>
        <v>6</v>
      </c>
      <c r="D423" s="8" t="s">
        <v>38</v>
      </c>
      <c r="E423" s="9" t="n">
        <v>24071.3</v>
      </c>
      <c r="F423" s="10" t="n">
        <v>12.84</v>
      </c>
      <c r="G423" s="11" t="n">
        <v>102</v>
      </c>
      <c r="H423" s="4" t="n">
        <v>2938</v>
      </c>
      <c r="I423" s="8" t="n">
        <v>1</v>
      </c>
      <c r="J423" s="11" t="n">
        <v>99</v>
      </c>
      <c r="K423" s="4" t="n">
        <v>1141</v>
      </c>
      <c r="L423" s="8" t="n">
        <v>1</v>
      </c>
      <c r="M423" s="11" t="n">
        <v>94</v>
      </c>
      <c r="N423" s="4" t="n">
        <v>2574</v>
      </c>
      <c r="O423" s="8" t="n">
        <v>1</v>
      </c>
      <c r="P423" s="4" t="n">
        <f aca="false">H423+K423+N423</f>
        <v>6653</v>
      </c>
      <c r="Q423" s="4" t="n">
        <f aca="false">Q422+P423</f>
        <v>1397093</v>
      </c>
      <c r="R423" s="4" t="n">
        <f aca="false">Q423-MAX(0,MAX($Q$2:Q423))</f>
        <v>0</v>
      </c>
    </row>
    <row r="424" customFormat="false" ht="15" hidden="false" customHeight="false" outlineLevel="0" collapsed="false">
      <c r="A424" s="7" t="n">
        <v>46203</v>
      </c>
      <c r="B424" s="8" t="n">
        <f aca="false">YEAR(A424)</f>
        <v>2026</v>
      </c>
      <c r="C424" s="8" t="n">
        <f aca="false">MONTH(A424)</f>
        <v>6</v>
      </c>
      <c r="D424" s="8" t="s">
        <v>38</v>
      </c>
      <c r="E424" s="9" t="n">
        <v>24032</v>
      </c>
      <c r="F424" s="10" t="n">
        <v>13.61</v>
      </c>
      <c r="G424" s="11" t="n">
        <v>123.1</v>
      </c>
      <c r="H424" s="4" t="n">
        <v>956</v>
      </c>
      <c r="I424" s="8" t="n">
        <v>1</v>
      </c>
      <c r="J424" s="11" t="n">
        <v>119.1</v>
      </c>
      <c r="K424" s="4" t="n">
        <v>-2663</v>
      </c>
      <c r="L424" s="8" t="n">
        <v>2</v>
      </c>
      <c r="M424" s="11" t="n">
        <v>112.4</v>
      </c>
      <c r="N424" s="4" t="n">
        <v>-2525</v>
      </c>
      <c r="O424" s="8" t="n">
        <v>2</v>
      </c>
      <c r="P424" s="4" t="n">
        <f aca="false">H424+K424+N424</f>
        <v>-4232</v>
      </c>
      <c r="Q424" s="4" t="n">
        <f aca="false">Q423+P424</f>
        <v>1392861</v>
      </c>
      <c r="R424" s="4" t="n">
        <f aca="false">Q424-MAX(0,MAX($Q$2:Q424))</f>
        <v>-4232</v>
      </c>
    </row>
    <row r="425" customFormat="false" ht="15" hidden="false" customHeight="false" outlineLevel="0" collapsed="false">
      <c r="A425" s="7" t="n">
        <v>46210</v>
      </c>
      <c r="B425" s="8" t="n">
        <f aca="false">YEAR(A425)</f>
        <v>2026</v>
      </c>
      <c r="C425" s="8" t="n">
        <f aca="false">MONTH(A425)</f>
        <v>7</v>
      </c>
      <c r="D425" s="8" t="s">
        <v>38</v>
      </c>
      <c r="E425" s="9" t="n">
        <v>24464.4</v>
      </c>
      <c r="F425" s="10" t="n">
        <v>11.82</v>
      </c>
      <c r="G425" s="11" t="n">
        <v>119.5</v>
      </c>
      <c r="H425" s="4" t="n">
        <v>-1572</v>
      </c>
      <c r="I425" s="8" t="n">
        <v>1</v>
      </c>
      <c r="J425" s="11" t="n">
        <v>116.2</v>
      </c>
      <c r="K425" s="4" t="n">
        <v>-2604</v>
      </c>
      <c r="L425" s="8" t="n">
        <v>2</v>
      </c>
      <c r="M425" s="11" t="n">
        <v>110.2</v>
      </c>
      <c r="N425" s="4" t="n">
        <v>2023</v>
      </c>
      <c r="O425" s="8" t="n">
        <v>1</v>
      </c>
      <c r="P425" s="4" t="n">
        <f aca="false">H425+K425+N425</f>
        <v>-2153</v>
      </c>
      <c r="Q425" s="4" t="n">
        <f aca="false">Q424+P425</f>
        <v>1390708</v>
      </c>
      <c r="R425" s="4" t="n">
        <f aca="false">Q425-MAX(0,MAX($Q$2:Q425))</f>
        <v>-6385</v>
      </c>
    </row>
    <row r="426" customFormat="false" ht="15" hidden="false" customHeight="false" outlineLevel="0" collapsed="false">
      <c r="A426" s="7" t="n">
        <v>46217</v>
      </c>
      <c r="B426" s="8" t="n">
        <f aca="false">YEAR(A426)</f>
        <v>2026</v>
      </c>
      <c r="C426" s="8" t="n">
        <f aca="false">MONTH(A426)</f>
        <v>7</v>
      </c>
      <c r="D426" s="8" t="s">
        <v>38</v>
      </c>
      <c r="E426" s="9" t="n">
        <v>24068</v>
      </c>
      <c r="F426" s="10" t="n">
        <v>13.28</v>
      </c>
      <c r="G426" s="11" t="n">
        <v>142.1</v>
      </c>
      <c r="H426" s="4" t="n">
        <v>3140</v>
      </c>
      <c r="I426" s="8" t="n">
        <v>1</v>
      </c>
      <c r="J426" s="11" t="n">
        <v>137.8</v>
      </c>
      <c r="K426" s="4" t="n">
        <v>-3046</v>
      </c>
      <c r="L426" s="8" t="n">
        <v>2</v>
      </c>
      <c r="M426" s="11" t="n">
        <v>131.4</v>
      </c>
      <c r="N426" s="4" t="n">
        <v>5001</v>
      </c>
      <c r="O426" s="8" t="n">
        <v>0</v>
      </c>
      <c r="P426" s="4" t="n">
        <f aca="false">H426+K426+N426</f>
        <v>5095</v>
      </c>
      <c r="Q426" s="4" t="n">
        <f aca="false">Q425+P426</f>
        <v>1395803</v>
      </c>
      <c r="R426" s="4" t="n">
        <f aca="false">Q426-MAX(0,MAX($Q$2:Q426))</f>
        <v>-1290</v>
      </c>
    </row>
    <row r="427" customFormat="false" ht="15" hidden="false" customHeight="false" outlineLevel="0" collapsed="false">
      <c r="A427" s="7" t="n">
        <v>46224</v>
      </c>
      <c r="B427" s="8" t="n">
        <f aca="false">YEAR(A427)</f>
        <v>2026</v>
      </c>
      <c r="C427" s="8" t="n">
        <f aca="false">MONTH(A427)</f>
        <v>7</v>
      </c>
      <c r="D427" s="8" t="s">
        <v>38</v>
      </c>
      <c r="E427" s="9" t="n">
        <v>24216</v>
      </c>
      <c r="F427" s="10" t="n">
        <v>12.98</v>
      </c>
      <c r="G427" s="11" t="n">
        <v>122.8</v>
      </c>
      <c r="H427" s="4" t="n">
        <v>2184</v>
      </c>
      <c r="I427" s="8" t="n">
        <v>1</v>
      </c>
      <c r="J427" s="11" t="n">
        <v>120.8</v>
      </c>
      <c r="K427" s="4" t="n">
        <v>3209</v>
      </c>
      <c r="L427" s="8" t="n">
        <v>1</v>
      </c>
      <c r="M427" s="11" t="n">
        <v>113.3</v>
      </c>
      <c r="N427" s="4" t="n">
        <v>1620</v>
      </c>
      <c r="O427" s="8" t="n">
        <v>1</v>
      </c>
      <c r="P427" s="4" t="n">
        <f aca="false">H427+K427+N427</f>
        <v>7013</v>
      </c>
      <c r="Q427" s="4" t="n">
        <f aca="false">Q426+P427</f>
        <v>1402816</v>
      </c>
      <c r="R427" s="4" t="n">
        <f aca="false">Q427-MAX(0,MAX($Q$2:Q427))</f>
        <v>0</v>
      </c>
    </row>
    <row r="428" customFormat="false" ht="15" hidden="false" customHeight="false" outlineLevel="0" collapsed="false">
      <c r="A428" s="7" t="n">
        <v>46231</v>
      </c>
      <c r="B428" s="8" t="n">
        <f aca="false">YEAR(A428)</f>
        <v>2026</v>
      </c>
      <c r="C428" s="8" t="n">
        <f aca="false">MONTH(A428)</f>
        <v>7</v>
      </c>
      <c r="D428" s="8" t="s">
        <v>38</v>
      </c>
      <c r="E428" s="9" t="n">
        <v>23971.2</v>
      </c>
      <c r="F428" s="10" t="n">
        <v>12.66</v>
      </c>
      <c r="G428" s="11" t="n">
        <v>116.1</v>
      </c>
      <c r="H428" s="4" t="n">
        <v>3238</v>
      </c>
      <c r="I428" s="8" t="n">
        <v>1</v>
      </c>
      <c r="J428" s="11" t="n">
        <v>113.2</v>
      </c>
      <c r="K428" s="4" t="n">
        <v>765</v>
      </c>
      <c r="L428" s="8" t="n">
        <v>1</v>
      </c>
      <c r="M428" s="11" t="n">
        <v>105.9</v>
      </c>
      <c r="N428" s="4" t="n">
        <v>-271</v>
      </c>
      <c r="O428" s="8" t="n">
        <v>1</v>
      </c>
      <c r="P428" s="4" t="n">
        <f aca="false">H428+K428+N428</f>
        <v>3732</v>
      </c>
      <c r="Q428" s="4" t="n">
        <f aca="false">Q427+P428</f>
        <v>1406548</v>
      </c>
      <c r="R428" s="4" t="n">
        <f aca="false">Q428-MAX(0,MAX($Q$2:Q428))</f>
        <v>0</v>
      </c>
    </row>
    <row r="429" customFormat="false" ht="15" hidden="false" customHeight="false" outlineLevel="0" collapsed="false">
      <c r="A429" s="7" t="n">
        <v>46238</v>
      </c>
      <c r="B429" s="8" t="n">
        <f aca="false">YEAR(A429)</f>
        <v>2026</v>
      </c>
      <c r="C429" s="8" t="n">
        <f aca="false">MONTH(A429)</f>
        <v>8</v>
      </c>
      <c r="D429" s="8" t="s">
        <v>38</v>
      </c>
      <c r="E429" s="9" t="n">
        <v>24703.9</v>
      </c>
      <c r="F429" s="10" t="n">
        <v>11.93</v>
      </c>
      <c r="G429" s="11" t="n">
        <v>149.5</v>
      </c>
      <c r="H429" s="4" t="n">
        <v>4357</v>
      </c>
      <c r="I429" s="8" t="n">
        <v>1</v>
      </c>
      <c r="J429" s="11" t="n">
        <v>144</v>
      </c>
      <c r="K429" s="4" t="n">
        <v>2278</v>
      </c>
      <c r="L429" s="8" t="n">
        <v>1</v>
      </c>
      <c r="M429" s="11" t="n">
        <v>136.6</v>
      </c>
      <c r="N429" s="4" t="n">
        <v>2381</v>
      </c>
      <c r="O429" s="8" t="n">
        <v>1</v>
      </c>
      <c r="P429" s="4" t="n">
        <f aca="false">H429+K429+N429</f>
        <v>9016</v>
      </c>
      <c r="Q429" s="4" t="n">
        <f aca="false">Q428+P429</f>
        <v>1415564</v>
      </c>
      <c r="R429" s="4" t="n">
        <f aca="false">Q429-MAX(0,MAX($Q$2:Q429))</f>
        <v>0</v>
      </c>
    </row>
    <row r="430" customFormat="false" ht="15" hidden="false" customHeight="false" outlineLevel="0" collapsed="false">
      <c r="A430" s="7" t="n">
        <v>46245</v>
      </c>
      <c r="B430" s="8" t="n">
        <f aca="false">YEAR(A430)</f>
        <v>2026</v>
      </c>
      <c r="C430" s="8" t="n">
        <f aca="false">MONTH(A430)</f>
        <v>8</v>
      </c>
      <c r="D430" s="8" t="s">
        <v>38</v>
      </c>
      <c r="E430" s="9" t="n">
        <v>24575.1</v>
      </c>
      <c r="F430" s="10" t="n">
        <v>12.25</v>
      </c>
      <c r="G430" s="11" t="n">
        <v>140.7</v>
      </c>
      <c r="H430" s="4" t="n">
        <v>5494</v>
      </c>
      <c r="I430" s="8" t="n">
        <v>0</v>
      </c>
      <c r="J430" s="11" t="n">
        <v>136.3</v>
      </c>
      <c r="K430" s="4" t="n">
        <v>2366</v>
      </c>
      <c r="L430" s="8" t="n">
        <v>1</v>
      </c>
      <c r="M430" s="11" t="n">
        <v>130.2</v>
      </c>
      <c r="N430" s="4" t="n">
        <v>1964</v>
      </c>
      <c r="O430" s="8" t="n">
        <v>1</v>
      </c>
      <c r="P430" s="4" t="n">
        <f aca="false">H430+K430+N430</f>
        <v>9824</v>
      </c>
      <c r="Q430" s="4" t="n">
        <f aca="false">Q429+P430</f>
        <v>1425388</v>
      </c>
      <c r="R430" s="4" t="n">
        <f aca="false">Q430-MAX(0,MAX($Q$2:Q430))</f>
        <v>0</v>
      </c>
    </row>
    <row r="431" customFormat="false" ht="15" hidden="false" customHeight="false" outlineLevel="0" collapsed="false">
      <c r="A431" s="7" t="n">
        <v>46252</v>
      </c>
      <c r="B431" s="8" t="n">
        <f aca="false">YEAR(A431)</f>
        <v>2026</v>
      </c>
      <c r="C431" s="8" t="n">
        <f aca="false">MONTH(A431)</f>
        <v>8</v>
      </c>
      <c r="D431" s="8" t="s">
        <v>38</v>
      </c>
      <c r="E431" s="9" t="n">
        <v>24223.8</v>
      </c>
      <c r="F431" s="10" t="n">
        <v>11.33</v>
      </c>
      <c r="G431" s="11" t="n">
        <v>123.5</v>
      </c>
      <c r="H431" s="4" t="n">
        <v>1745</v>
      </c>
      <c r="I431" s="8" t="n">
        <v>1</v>
      </c>
      <c r="J431" s="11" t="n">
        <v>121.1</v>
      </c>
      <c r="K431" s="4" t="n">
        <v>3538</v>
      </c>
      <c r="L431" s="8" t="n">
        <v>1</v>
      </c>
      <c r="M431" s="11" t="n">
        <v>114</v>
      </c>
      <c r="N431" s="4" t="n">
        <v>1727</v>
      </c>
      <c r="O431" s="8" t="n">
        <v>1</v>
      </c>
      <c r="P431" s="4" t="n">
        <f aca="false">H431+K431+N431</f>
        <v>7010</v>
      </c>
      <c r="Q431" s="4" t="n">
        <f aca="false">Q430+P431</f>
        <v>1432398</v>
      </c>
      <c r="R431" s="4" t="n">
        <f aca="false">Q431-MAX(0,MAX($Q$2:Q431))</f>
        <v>0</v>
      </c>
    </row>
    <row r="432" customFormat="false" ht="15" hidden="false" customHeight="false" outlineLevel="0" collapsed="false">
      <c r="A432" s="7" t="n">
        <v>46259</v>
      </c>
      <c r="B432" s="8" t="n">
        <f aca="false">YEAR(A432)</f>
        <v>2026</v>
      </c>
      <c r="C432" s="8" t="n">
        <f aca="false">MONTH(A432)</f>
        <v>8</v>
      </c>
      <c r="D432" s="8" t="s">
        <v>38</v>
      </c>
      <c r="E432" s="9" t="n">
        <v>24175.8</v>
      </c>
      <c r="F432" s="10" t="n">
        <v>11.53</v>
      </c>
      <c r="G432" s="11" t="n">
        <v>74.3</v>
      </c>
      <c r="H432" s="4" t="n">
        <v>-1744</v>
      </c>
      <c r="I432" s="8" t="n">
        <v>2</v>
      </c>
      <c r="J432" s="11" t="n">
        <v>71.4</v>
      </c>
      <c r="K432" s="4" t="n">
        <v>-1686</v>
      </c>
      <c r="L432" s="8" t="n">
        <v>2</v>
      </c>
      <c r="M432" s="11" t="n">
        <v>68.8</v>
      </c>
      <c r="N432" s="4" t="n">
        <v>1848</v>
      </c>
      <c r="O432" s="8" t="n">
        <v>1</v>
      </c>
      <c r="P432" s="4" t="n">
        <f aca="false">H432+K432+N432</f>
        <v>-1582</v>
      </c>
      <c r="Q432" s="4" t="n">
        <f aca="false">Q431+P432</f>
        <v>1430816</v>
      </c>
      <c r="R432" s="4" t="n">
        <f aca="false">Q432-MAX(0,MAX($Q$2:Q432))</f>
        <v>-1582</v>
      </c>
    </row>
    <row r="433" customFormat="false" ht="15" hidden="false" customHeight="false" outlineLevel="0" collapsed="false">
      <c r="A433" s="7" t="n">
        <v>46266</v>
      </c>
      <c r="B433" s="8" t="n">
        <f aca="false">YEAR(A433)</f>
        <v>2026</v>
      </c>
      <c r="C433" s="8" t="n">
        <f aca="false">MONTH(A433)</f>
        <v>9</v>
      </c>
      <c r="D433" s="8" t="s">
        <v>38</v>
      </c>
      <c r="E433" s="9" t="n">
        <v>24077.6</v>
      </c>
      <c r="F433" s="10" t="n">
        <v>11.19</v>
      </c>
      <c r="G433" s="11" t="n">
        <v>107.5</v>
      </c>
      <c r="H433" s="4" t="n">
        <v>-2425</v>
      </c>
      <c r="I433" s="8" t="n">
        <v>2</v>
      </c>
      <c r="J433" s="11" t="n">
        <v>104.1</v>
      </c>
      <c r="K433" s="4" t="n">
        <v>-2356</v>
      </c>
      <c r="L433" s="8" t="n">
        <v>2</v>
      </c>
      <c r="M433" s="11" t="n">
        <v>100.5</v>
      </c>
      <c r="N433" s="4" t="n">
        <v>-2282</v>
      </c>
      <c r="O433" s="8" t="n">
        <v>2</v>
      </c>
      <c r="P433" s="4" t="n">
        <f aca="false">H433+K433+N433</f>
        <v>-7063</v>
      </c>
      <c r="Q433" s="4" t="n">
        <f aca="false">Q432+P433</f>
        <v>1423753</v>
      </c>
      <c r="R433" s="4" t="n">
        <f aca="false">Q433-MAX(0,MAX($Q$2:Q433))</f>
        <v>-8645</v>
      </c>
    </row>
    <row r="434" customFormat="false" ht="15" hidden="false" customHeight="false" outlineLevel="0" collapsed="false">
      <c r="A434" s="7" t="n">
        <v>46273</v>
      </c>
      <c r="B434" s="8" t="n">
        <f aca="false">YEAR(A434)</f>
        <v>2026</v>
      </c>
      <c r="C434" s="8" t="n">
        <f aca="false">MONTH(A434)</f>
        <v>9</v>
      </c>
      <c r="D434" s="8" t="s">
        <v>38</v>
      </c>
      <c r="E434" s="9" t="n">
        <v>23743.1</v>
      </c>
      <c r="F434" s="10" t="n">
        <v>11.16</v>
      </c>
      <c r="G434" s="11" t="n">
        <v>98.2</v>
      </c>
      <c r="H434" s="4" t="n">
        <v>-312</v>
      </c>
      <c r="I434" s="8" t="n">
        <v>1</v>
      </c>
      <c r="J434" s="11" t="n">
        <v>93.4</v>
      </c>
      <c r="K434" s="4" t="n">
        <v>133</v>
      </c>
      <c r="L434" s="8" t="n">
        <v>1</v>
      </c>
      <c r="M434" s="11" t="n">
        <v>88.3</v>
      </c>
      <c r="N434" s="4" t="n">
        <v>1639</v>
      </c>
      <c r="O434" s="8" t="n">
        <v>1</v>
      </c>
      <c r="P434" s="4" t="n">
        <f aca="false">H434+K434+N434</f>
        <v>1460</v>
      </c>
      <c r="Q434" s="4" t="n">
        <f aca="false">Q433+P434</f>
        <v>1425213</v>
      </c>
      <c r="R434" s="4" t="n">
        <f aca="false">Q434-MAX(0,MAX($Q$2:Q434))</f>
        <v>-7185</v>
      </c>
    </row>
    <row r="435" customFormat="false" ht="15" hidden="false" customHeight="false" outlineLevel="0" collapsed="false">
      <c r="A435" s="7" t="n">
        <v>46280</v>
      </c>
      <c r="B435" s="8" t="n">
        <f aca="false">YEAR(A435)</f>
        <v>2026</v>
      </c>
      <c r="C435" s="8" t="n">
        <f aca="false">MONTH(A435)</f>
        <v>9</v>
      </c>
      <c r="D435" s="8" t="s">
        <v>38</v>
      </c>
      <c r="E435" s="9" t="n">
        <v>23576.2</v>
      </c>
      <c r="F435" s="10" t="n">
        <v>12.29</v>
      </c>
      <c r="G435" s="11" t="n">
        <v>139.6</v>
      </c>
      <c r="H435" s="4" t="n">
        <v>3023</v>
      </c>
      <c r="I435" s="8" t="n">
        <v>1</v>
      </c>
      <c r="J435" s="11" t="n">
        <v>135.3</v>
      </c>
      <c r="K435" s="4" t="n">
        <v>2429</v>
      </c>
      <c r="L435" s="8" t="n">
        <v>1</v>
      </c>
      <c r="M435" s="11" t="n">
        <v>129.5</v>
      </c>
      <c r="N435" s="4" t="n">
        <v>3500</v>
      </c>
      <c r="O435" s="8" t="n">
        <v>1</v>
      </c>
      <c r="P435" s="4" t="n">
        <f aca="false">H435+K435+N435</f>
        <v>8952</v>
      </c>
      <c r="Q435" s="4" t="n">
        <f aca="false">Q434+P435</f>
        <v>1434165</v>
      </c>
      <c r="R435" s="4" t="n">
        <f aca="false">Q435-MAX(0,MAX($Q$2:Q435))</f>
        <v>0</v>
      </c>
    </row>
    <row r="436" customFormat="false" ht="15" hidden="false" customHeight="false" outlineLevel="0" collapsed="false">
      <c r="A436" s="7" t="n">
        <v>46287</v>
      </c>
      <c r="B436" s="8" t="n">
        <f aca="false">YEAR(A436)</f>
        <v>2026</v>
      </c>
      <c r="C436" s="8" t="n">
        <f aca="false">MONTH(A436)</f>
        <v>9</v>
      </c>
      <c r="D436" s="8" t="s">
        <v>38</v>
      </c>
      <c r="E436" s="9" t="n">
        <v>23454</v>
      </c>
      <c r="F436" s="10" t="n">
        <v>11.25</v>
      </c>
      <c r="G436" s="11" t="n">
        <v>111</v>
      </c>
      <c r="H436" s="4" t="n">
        <v>2747</v>
      </c>
      <c r="I436" s="8" t="n">
        <v>1</v>
      </c>
      <c r="J436" s="11" t="n">
        <v>108.2</v>
      </c>
      <c r="K436" s="4" t="n">
        <v>2874</v>
      </c>
      <c r="L436" s="8" t="n">
        <v>1</v>
      </c>
      <c r="M436" s="11" t="n">
        <v>104.4</v>
      </c>
      <c r="N436" s="4" t="n">
        <v>3216</v>
      </c>
      <c r="O436" s="8" t="n">
        <v>1</v>
      </c>
      <c r="P436" s="4" t="n">
        <f aca="false">H436+K436+N436</f>
        <v>8837</v>
      </c>
      <c r="Q436" s="4" t="n">
        <f aca="false">Q435+P436</f>
        <v>1443002</v>
      </c>
      <c r="R436" s="4" t="n">
        <f aca="false">Q436-MAX(0,MAX($Q$2:Q436))</f>
        <v>0</v>
      </c>
    </row>
    <row r="437" customFormat="false" ht="15" hidden="false" customHeight="false" outlineLevel="0" collapsed="false">
      <c r="A437" s="7" t="n">
        <v>46294</v>
      </c>
      <c r="B437" s="8" t="n">
        <f aca="false">YEAR(A437)</f>
        <v>2026</v>
      </c>
      <c r="C437" s="8" t="n">
        <f aca="false">MONTH(A437)</f>
        <v>9</v>
      </c>
      <c r="D437" s="8" t="s">
        <v>38</v>
      </c>
      <c r="E437" s="9" t="n">
        <v>22732.4</v>
      </c>
      <c r="F437" s="10" t="n">
        <v>13.64</v>
      </c>
      <c r="G437" s="11" t="n">
        <v>132.2</v>
      </c>
      <c r="H437" s="4" t="n">
        <v>-2931</v>
      </c>
      <c r="I437" s="8" t="n">
        <v>2</v>
      </c>
      <c r="J437" s="11" t="n">
        <v>127.4</v>
      </c>
      <c r="K437" s="4" t="n">
        <v>2802</v>
      </c>
      <c r="L437" s="8" t="n">
        <v>1</v>
      </c>
      <c r="M437" s="11" t="n">
        <v>121.4</v>
      </c>
      <c r="N437" s="4" t="n">
        <v>2544</v>
      </c>
      <c r="O437" s="8" t="n">
        <v>1</v>
      </c>
      <c r="P437" s="4" t="n">
        <f aca="false">H437+K437+N437</f>
        <v>2415</v>
      </c>
      <c r="Q437" s="4" t="n">
        <f aca="false">Q436+P437</f>
        <v>1445417</v>
      </c>
      <c r="R437" s="4" t="n">
        <f aca="false">Q437-MAX(0,MAX($Q$2:Q437))</f>
        <v>0</v>
      </c>
    </row>
    <row r="438" customFormat="false" ht="15" hidden="false" customHeight="false" outlineLevel="0" collapsed="false">
      <c r="A438" s="7" t="n">
        <v>46301</v>
      </c>
      <c r="B438" s="8" t="n">
        <f aca="false">YEAR(A438)</f>
        <v>2026</v>
      </c>
      <c r="C438" s="8" t="n">
        <f aca="false">MONTH(A438)</f>
        <v>10</v>
      </c>
      <c r="D438" s="8" t="s">
        <v>38</v>
      </c>
      <c r="E438" s="9" t="n">
        <v>22603.2</v>
      </c>
      <c r="F438" s="10" t="n">
        <v>14.78</v>
      </c>
      <c r="G438" s="11" t="n">
        <v>131.9</v>
      </c>
      <c r="H438" s="4" t="n">
        <v>1935</v>
      </c>
      <c r="I438" s="8" t="n">
        <v>1</v>
      </c>
      <c r="J438" s="11" t="n">
        <v>127.6</v>
      </c>
      <c r="K438" s="4" t="n">
        <v>-2837</v>
      </c>
      <c r="L438" s="8" t="n">
        <v>2</v>
      </c>
      <c r="M438" s="11" t="n">
        <v>122</v>
      </c>
      <c r="N438" s="4" t="n">
        <v>1881</v>
      </c>
      <c r="O438" s="8" t="n">
        <v>1</v>
      </c>
      <c r="P438" s="4" t="n">
        <f aca="false">H438+K438+N438</f>
        <v>979</v>
      </c>
      <c r="Q438" s="4" t="n">
        <f aca="false">Q437+P438</f>
        <v>1446396</v>
      </c>
      <c r="R438" s="4" t="n">
        <f aca="false">Q438-MAX(0,MAX($Q$2:Q438))</f>
        <v>0</v>
      </c>
    </row>
    <row r="439" customFormat="false" ht="15" hidden="false" customHeight="false" outlineLevel="0" collapsed="false">
      <c r="A439" s="7" t="n">
        <v>46308</v>
      </c>
      <c r="B439" s="8" t="n">
        <f aca="false">YEAR(A439)</f>
        <v>2026</v>
      </c>
      <c r="C439" s="8" t="n">
        <f aca="false">MONTH(A439)</f>
        <v>10</v>
      </c>
      <c r="D439" s="8" t="s">
        <v>38</v>
      </c>
      <c r="E439" s="9" t="n">
        <v>22364.2</v>
      </c>
      <c r="F439" s="10" t="n">
        <v>15.25</v>
      </c>
      <c r="G439" s="11" t="n">
        <v>135</v>
      </c>
      <c r="H439" s="4" t="n">
        <v>-2989</v>
      </c>
      <c r="I439" s="8" t="n">
        <v>2</v>
      </c>
      <c r="J439" s="11" t="n">
        <v>131.6</v>
      </c>
      <c r="K439" s="4" t="n">
        <v>-2918</v>
      </c>
      <c r="L439" s="8" t="n">
        <v>2</v>
      </c>
      <c r="M439" s="11" t="n">
        <v>125.6</v>
      </c>
      <c r="N439" s="4" t="n">
        <v>1647</v>
      </c>
      <c r="O439" s="8" t="n">
        <v>1</v>
      </c>
      <c r="P439" s="4" t="n">
        <f aca="false">H439+K439+N439</f>
        <v>-4260</v>
      </c>
      <c r="Q439" s="4" t="n">
        <f aca="false">Q438+P439</f>
        <v>1442136</v>
      </c>
      <c r="R439" s="4" t="n">
        <f aca="false">Q439-MAX(0,MAX($Q$2:Q439))</f>
        <v>-4260</v>
      </c>
    </row>
    <row r="440" customFormat="false" ht="15" hidden="false" customHeight="false" outlineLevel="0" collapsed="false">
      <c r="A440" s="7" t="n">
        <v>46314</v>
      </c>
      <c r="B440" s="8" t="n">
        <f aca="false">YEAR(A440)</f>
        <v>2026</v>
      </c>
      <c r="C440" s="8" t="n">
        <f aca="false">MONTH(A440)</f>
        <v>10</v>
      </c>
      <c r="D440" s="8" t="s">
        <v>39</v>
      </c>
      <c r="E440" s="9" t="n">
        <v>23150.8</v>
      </c>
      <c r="F440" s="10" t="n">
        <v>14.06</v>
      </c>
      <c r="G440" s="11" t="n">
        <v>196.2</v>
      </c>
      <c r="H440" s="4" t="n">
        <v>4181</v>
      </c>
      <c r="I440" s="8" t="n">
        <v>1</v>
      </c>
      <c r="J440" s="11" t="n">
        <v>190.7</v>
      </c>
      <c r="K440" s="4" t="n">
        <v>5076</v>
      </c>
      <c r="L440" s="8" t="n">
        <v>1</v>
      </c>
      <c r="M440" s="11" t="n">
        <v>181.4</v>
      </c>
      <c r="N440" s="4" t="n">
        <v>3141</v>
      </c>
      <c r="O440" s="8" t="n">
        <v>1</v>
      </c>
      <c r="P440" s="4" t="n">
        <f aca="false">H440+K440+N440</f>
        <v>12398</v>
      </c>
      <c r="Q440" s="4" t="n">
        <f aca="false">Q439+P440</f>
        <v>1454534</v>
      </c>
      <c r="R440" s="4" t="n">
        <f aca="false">Q440-MAX(0,MAX($Q$2:Q440))</f>
        <v>0</v>
      </c>
    </row>
  </sheetData>
  <autoFilter ref="A1:R440"/>
  <conditionalFormatting sqref="P2:P440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10"/>
    <col collapsed="false" customWidth="true" hidden="false" outlineLevel="0" max="14" min="14" style="0" width="12"/>
    <col collapsed="false" customWidth="true" hidden="false" outlineLevel="0" max="16" min="15" style="0" width="10"/>
  </cols>
  <sheetData>
    <row r="1" customFormat="false" ht="15" hidden="false" customHeight="false" outlineLevel="0" collapsed="false">
      <c r="A1" s="12" t="s">
        <v>46</v>
      </c>
    </row>
    <row r="2" customFormat="false" ht="26.85" hidden="false" customHeight="false" outlineLevel="0" collapsed="false">
      <c r="A2" s="2" t="s">
        <v>19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</row>
    <row r="3" customFormat="false" ht="15" hidden="false" customHeight="false" outlineLevel="0" collapsed="false">
      <c r="A3" s="3" t="s">
        <v>62</v>
      </c>
      <c r="B3" s="4" t="n">
        <f aca="false">SUMIFS('Set A daily'!$P$2:$P$440,'Set A daily'!$B$2:$B$440,2016,'Set A daily'!$C$2:$C$440,1)</f>
        <v>-2146</v>
      </c>
      <c r="C3" s="4" t="n">
        <f aca="false">SUMIFS('Set A daily'!$P$2:$P$440,'Set A daily'!$B$2:$B$440,2016,'Set A daily'!$C$2:$C$440,2)</f>
        <v>-960</v>
      </c>
      <c r="D3" s="4" t="n">
        <f aca="false">SUMIFS('Set A daily'!$P$2:$P$440,'Set A daily'!$B$2:$B$440,2016,'Set A daily'!$C$2:$C$440,3)</f>
        <v>-618</v>
      </c>
      <c r="E3" s="4" t="n">
        <f aca="false">SUMIFS('Set A daily'!$P$2:$P$440,'Set A daily'!$B$2:$B$440,2016,'Set A daily'!$C$2:$C$440,4)</f>
        <v>-683</v>
      </c>
      <c r="F3" s="4" t="n">
        <f aca="false">SUMIFS('Set A daily'!$P$2:$P$440,'Set A daily'!$B$2:$B$440,2016,'Set A daily'!$C$2:$C$440,5)</f>
        <v>-757</v>
      </c>
      <c r="G3" s="4" t="n">
        <f aca="false">SUMIFS('Set A daily'!$P$2:$P$440,'Set A daily'!$B$2:$B$440,2016,'Set A daily'!$C$2:$C$440,6)</f>
        <v>-755</v>
      </c>
      <c r="H3" s="4" t="n">
        <f aca="false">SUMIFS('Set A daily'!$P$2:$P$440,'Set A daily'!$B$2:$B$440,2016,'Set A daily'!$C$2:$C$440,7)</f>
        <v>4484</v>
      </c>
      <c r="I3" s="4" t="n">
        <f aca="false">SUMIFS('Set A daily'!$P$2:$P$440,'Set A daily'!$B$2:$B$440,2016,'Set A daily'!$C$2:$C$440,8)</f>
        <v>6230</v>
      </c>
      <c r="J3" s="4" t="n">
        <f aca="false">SUMIFS('Set A daily'!$P$2:$P$440,'Set A daily'!$B$2:$B$440,2016,'Set A daily'!$C$2:$C$440,9)</f>
        <v>790</v>
      </c>
      <c r="K3" s="4" t="n">
        <f aca="false">SUMIFS('Set A daily'!$P$2:$P$440,'Set A daily'!$B$2:$B$440,2016,'Set A daily'!$C$2:$C$440,10)</f>
        <v>-2475</v>
      </c>
      <c r="L3" s="4" t="n">
        <f aca="false">SUMIFS('Set A daily'!$P$2:$P$440,'Set A daily'!$B$2:$B$440,2016,'Set A daily'!$C$2:$C$440,11)</f>
        <v>-1623</v>
      </c>
      <c r="M3" s="4" t="n">
        <f aca="false">SUMIFS('Set A daily'!$P$2:$P$440,'Set A daily'!$B$2:$B$440,2016,'Set A daily'!$C$2:$C$440,12)</f>
        <v>2827</v>
      </c>
      <c r="N3" s="13" t="n">
        <f aca="false">SUM(B3:M3)</f>
        <v>4314</v>
      </c>
      <c r="O3" s="8" t="n">
        <f aca="false">COUNTIFS('Set A daily'!$B$2:$B$440,2016)</f>
        <v>12</v>
      </c>
      <c r="P3" s="8" t="n">
        <f aca="false">COUNTIFS('Set A daily'!$B$2:$B$440,2016,'Set A daily'!$P$2:$P$440,"&gt;0")</f>
        <v>4</v>
      </c>
    </row>
    <row r="4" customFormat="false" ht="15" hidden="false" customHeight="false" outlineLevel="0" collapsed="false">
      <c r="A4" s="3" t="s">
        <v>63</v>
      </c>
      <c r="B4" s="4" t="n">
        <f aca="false">SUMIFS('Set A daily'!$P$2:$P$440,'Set A daily'!$B$2:$B$440,2017,'Set A daily'!$C$2:$C$440,1)</f>
        <v>-1390</v>
      </c>
      <c r="C4" s="4" t="n">
        <f aca="false">SUMIFS('Set A daily'!$P$2:$P$440,'Set A daily'!$B$2:$B$440,2017,'Set A daily'!$C$2:$C$440,2)</f>
        <v>3347</v>
      </c>
      <c r="D4" s="4" t="n">
        <f aca="false">SUMIFS('Set A daily'!$P$2:$P$440,'Set A daily'!$B$2:$B$440,2017,'Set A daily'!$C$2:$C$440,3)</f>
        <v>114</v>
      </c>
      <c r="E4" s="4" t="n">
        <f aca="false">SUMIFS('Set A daily'!$P$2:$P$440,'Set A daily'!$B$2:$B$440,2017,'Set A daily'!$C$2:$C$440,4)</f>
        <v>2041</v>
      </c>
      <c r="F4" s="4" t="n">
        <f aca="false">SUMIFS('Set A daily'!$P$2:$P$440,'Set A daily'!$B$2:$B$440,2017,'Set A daily'!$C$2:$C$440,5)</f>
        <v>2890</v>
      </c>
      <c r="G4" s="4" t="n">
        <f aca="false">SUMIFS('Set A daily'!$P$2:$P$440,'Set A daily'!$B$2:$B$440,2017,'Set A daily'!$C$2:$C$440,6)</f>
        <v>-856</v>
      </c>
      <c r="H4" s="4" t="n">
        <f aca="false">SUMIFS('Set A daily'!$P$2:$P$440,'Set A daily'!$B$2:$B$440,2017,'Set A daily'!$C$2:$C$440,7)</f>
        <v>-4025</v>
      </c>
      <c r="I4" s="4" t="n">
        <f aca="false">SUMIFS('Set A daily'!$P$2:$P$440,'Set A daily'!$B$2:$B$440,2017,'Set A daily'!$C$2:$C$440,8)</f>
        <v>1066</v>
      </c>
      <c r="J4" s="4" t="n">
        <f aca="false">SUMIFS('Set A daily'!$P$2:$P$440,'Set A daily'!$B$2:$B$440,2017,'Set A daily'!$C$2:$C$440,9)</f>
        <v>-1781</v>
      </c>
      <c r="K4" s="4" t="n">
        <f aca="false">SUMIFS('Set A daily'!$P$2:$P$440,'Set A daily'!$B$2:$B$440,2017,'Set A daily'!$C$2:$C$440,10)</f>
        <v>4958</v>
      </c>
      <c r="L4" s="4" t="n">
        <f aca="false">SUMIFS('Set A daily'!$P$2:$P$440,'Set A daily'!$B$2:$B$440,2017,'Set A daily'!$C$2:$C$440,11)</f>
        <v>2899</v>
      </c>
      <c r="M4" s="4" t="n">
        <f aca="false">SUMIFS('Set A daily'!$P$2:$P$440,'Set A daily'!$B$2:$B$440,2017,'Set A daily'!$C$2:$C$440,12)</f>
        <v>2227</v>
      </c>
      <c r="N4" s="13" t="n">
        <f aca="false">SUM(B4:M4)</f>
        <v>11490</v>
      </c>
      <c r="O4" s="8" t="n">
        <f aca="false">COUNTIFS('Set A daily'!$B$2:$B$440,2017)</f>
        <v>12</v>
      </c>
      <c r="P4" s="8" t="n">
        <f aca="false">COUNTIFS('Set A daily'!$B$2:$B$440,2017,'Set A daily'!$P$2:$P$440,"&gt;0")</f>
        <v>8</v>
      </c>
    </row>
    <row r="5" customFormat="false" ht="15" hidden="false" customHeight="false" outlineLevel="0" collapsed="false">
      <c r="A5" s="3" t="s">
        <v>64</v>
      </c>
      <c r="B5" s="4" t="n">
        <f aca="false">SUMIFS('Set A daily'!$P$2:$P$440,'Set A daily'!$B$2:$B$440,2018,'Set A daily'!$C$2:$C$440,1)</f>
        <v>-794</v>
      </c>
      <c r="C5" s="4" t="n">
        <f aca="false">SUMIFS('Set A daily'!$P$2:$P$440,'Set A daily'!$B$2:$B$440,2018,'Set A daily'!$C$2:$C$440,2)</f>
        <v>2875</v>
      </c>
      <c r="D5" s="4" t="n">
        <f aca="false">SUMIFS('Set A daily'!$P$2:$P$440,'Set A daily'!$B$2:$B$440,2018,'Set A daily'!$C$2:$C$440,3)</f>
        <v>239</v>
      </c>
      <c r="E5" s="4" t="n">
        <f aca="false">SUMIFS('Set A daily'!$P$2:$P$440,'Set A daily'!$B$2:$B$440,2018,'Set A daily'!$C$2:$C$440,4)</f>
        <v>-3288</v>
      </c>
      <c r="F5" s="4" t="n">
        <f aca="false">SUMIFS('Set A daily'!$P$2:$P$440,'Set A daily'!$B$2:$B$440,2018,'Set A daily'!$C$2:$C$440,5)</f>
        <v>-767</v>
      </c>
      <c r="G5" s="4" t="n">
        <f aca="false">SUMIFS('Set A daily'!$P$2:$P$440,'Set A daily'!$B$2:$B$440,2018,'Set A daily'!$C$2:$C$440,6)</f>
        <v>-1261</v>
      </c>
      <c r="H5" s="4" t="n">
        <f aca="false">SUMIFS('Set A daily'!$P$2:$P$440,'Set A daily'!$B$2:$B$440,2018,'Set A daily'!$C$2:$C$440,7)</f>
        <v>-289</v>
      </c>
      <c r="I5" s="4" t="n">
        <f aca="false">SUMIFS('Set A daily'!$P$2:$P$440,'Set A daily'!$B$2:$B$440,2018,'Set A daily'!$C$2:$C$440,8)</f>
        <v>1368</v>
      </c>
      <c r="J5" s="4" t="n">
        <f aca="false">SUMIFS('Set A daily'!$P$2:$P$440,'Set A daily'!$B$2:$B$440,2018,'Set A daily'!$C$2:$C$440,9)</f>
        <v>5784</v>
      </c>
      <c r="K5" s="4" t="n">
        <f aca="false">SUMIFS('Set A daily'!$P$2:$P$440,'Set A daily'!$B$2:$B$440,2018,'Set A daily'!$C$2:$C$440,10)</f>
        <v>3759</v>
      </c>
      <c r="L5" s="4" t="n">
        <f aca="false">SUMIFS('Set A daily'!$P$2:$P$440,'Set A daily'!$B$2:$B$440,2018,'Set A daily'!$C$2:$C$440,11)</f>
        <v>2701</v>
      </c>
      <c r="M5" s="4" t="n">
        <f aca="false">SUMIFS('Set A daily'!$P$2:$P$440,'Set A daily'!$B$2:$B$440,2018,'Set A daily'!$C$2:$C$440,12)</f>
        <v>4668</v>
      </c>
      <c r="N5" s="13" t="n">
        <f aca="false">SUM(B5:M5)</f>
        <v>14995</v>
      </c>
      <c r="O5" s="8" t="n">
        <f aca="false">COUNTIFS('Set A daily'!$B$2:$B$440,2018)</f>
        <v>12</v>
      </c>
      <c r="P5" s="8" t="n">
        <f aca="false">COUNTIFS('Set A daily'!$B$2:$B$440,2018,'Set A daily'!$P$2:$P$440,"&gt;0")</f>
        <v>7</v>
      </c>
    </row>
    <row r="6" customFormat="false" ht="15" hidden="false" customHeight="false" outlineLevel="0" collapsed="false">
      <c r="A6" s="3" t="s">
        <v>65</v>
      </c>
      <c r="B6" s="4" t="n">
        <f aca="false">SUMIFS('Set A daily'!$P$2:$P$440,'Set A daily'!$B$2:$B$440,2019,'Set A daily'!$C$2:$C$440,1)</f>
        <v>-1464</v>
      </c>
      <c r="C6" s="4" t="n">
        <f aca="false">SUMIFS('Set A daily'!$P$2:$P$440,'Set A daily'!$B$2:$B$440,2019,'Set A daily'!$C$2:$C$440,2)</f>
        <v>8677</v>
      </c>
      <c r="D6" s="4" t="n">
        <f aca="false">SUMIFS('Set A daily'!$P$2:$P$440,'Set A daily'!$B$2:$B$440,2019,'Set A daily'!$C$2:$C$440,3)</f>
        <v>4493</v>
      </c>
      <c r="E6" s="4" t="n">
        <f aca="false">SUMIFS('Set A daily'!$P$2:$P$440,'Set A daily'!$B$2:$B$440,2019,'Set A daily'!$C$2:$C$440,4)</f>
        <v>2647</v>
      </c>
      <c r="F6" s="4" t="n">
        <f aca="false">SUMIFS('Set A daily'!$P$2:$P$440,'Set A daily'!$B$2:$B$440,2019,'Set A daily'!$C$2:$C$440,5)</f>
        <v>18782</v>
      </c>
      <c r="G6" s="4" t="n">
        <f aca="false">SUMIFS('Set A daily'!$P$2:$P$440,'Set A daily'!$B$2:$B$440,2019,'Set A daily'!$C$2:$C$440,6)</f>
        <v>-172</v>
      </c>
      <c r="H6" s="4" t="n">
        <f aca="false">SUMIFS('Set A daily'!$P$2:$P$440,'Set A daily'!$B$2:$B$440,2019,'Set A daily'!$C$2:$C$440,7)</f>
        <v>8757</v>
      </c>
      <c r="I6" s="4" t="n">
        <f aca="false">SUMIFS('Set A daily'!$P$2:$P$440,'Set A daily'!$B$2:$B$440,2019,'Set A daily'!$C$2:$C$440,8)</f>
        <v>7457</v>
      </c>
      <c r="J6" s="4" t="n">
        <f aca="false">SUMIFS('Set A daily'!$P$2:$P$440,'Set A daily'!$B$2:$B$440,2019,'Set A daily'!$C$2:$C$440,9)</f>
        <v>10428</v>
      </c>
      <c r="K6" s="4" t="n">
        <f aca="false">SUMIFS('Set A daily'!$P$2:$P$440,'Set A daily'!$B$2:$B$440,2019,'Set A daily'!$C$2:$C$440,10)</f>
        <v>5788</v>
      </c>
      <c r="L6" s="4" t="n">
        <f aca="false">SUMIFS('Set A daily'!$P$2:$P$440,'Set A daily'!$B$2:$B$440,2019,'Set A daily'!$C$2:$C$440,11)</f>
        <v>911</v>
      </c>
      <c r="M6" s="4" t="n">
        <f aca="false">SUMIFS('Set A daily'!$P$2:$P$440,'Set A daily'!$B$2:$B$440,2019,'Set A daily'!$C$2:$C$440,12)</f>
        <v>7603</v>
      </c>
      <c r="N6" s="13" t="n">
        <f aca="false">SUM(B6:M6)</f>
        <v>73907</v>
      </c>
      <c r="O6" s="8" t="n">
        <f aca="false">COUNTIFS('Set A daily'!$B$2:$B$440,2019)</f>
        <v>47</v>
      </c>
      <c r="P6" s="8" t="n">
        <f aca="false">COUNTIFS('Set A daily'!$B$2:$B$440,2019,'Set A daily'!$P$2:$P$440,"&gt;0")</f>
        <v>33</v>
      </c>
    </row>
    <row r="7" customFormat="false" ht="15" hidden="false" customHeight="false" outlineLevel="0" collapsed="false">
      <c r="A7" s="3" t="s">
        <v>66</v>
      </c>
      <c r="B7" s="4" t="n">
        <f aca="false">SUMIFS('Set A daily'!$P$2:$P$440,'Set A daily'!$B$2:$B$440,2020,'Set A daily'!$C$2:$C$440,1)</f>
        <v>-2885</v>
      </c>
      <c r="C7" s="4" t="n">
        <f aca="false">SUMIFS('Set A daily'!$P$2:$P$440,'Set A daily'!$B$2:$B$440,2020,'Set A daily'!$C$2:$C$440,2)</f>
        <v>-8060</v>
      </c>
      <c r="D7" s="4" t="n">
        <f aca="false">SUMIFS('Set A daily'!$P$2:$P$440,'Set A daily'!$B$2:$B$440,2020,'Set A daily'!$C$2:$C$440,3)</f>
        <v>29645</v>
      </c>
      <c r="E7" s="4" t="n">
        <f aca="false">SUMIFS('Set A daily'!$P$2:$P$440,'Set A daily'!$B$2:$B$440,2020,'Set A daily'!$C$2:$C$440,4)</f>
        <v>29464</v>
      </c>
      <c r="F7" s="4" t="n">
        <f aca="false">SUMIFS('Set A daily'!$P$2:$P$440,'Set A daily'!$B$2:$B$440,2020,'Set A daily'!$C$2:$C$440,5)</f>
        <v>25266</v>
      </c>
      <c r="G7" s="4" t="n">
        <f aca="false">SUMIFS('Set A daily'!$P$2:$P$440,'Set A daily'!$B$2:$B$440,2020,'Set A daily'!$C$2:$C$440,6)</f>
        <v>1877</v>
      </c>
      <c r="H7" s="4" t="n">
        <f aca="false">SUMIFS('Set A daily'!$P$2:$P$440,'Set A daily'!$B$2:$B$440,2020,'Set A daily'!$C$2:$C$440,7)</f>
        <v>5255</v>
      </c>
      <c r="I7" s="4" t="n">
        <f aca="false">SUMIFS('Set A daily'!$P$2:$P$440,'Set A daily'!$B$2:$B$440,2020,'Set A daily'!$C$2:$C$440,8)</f>
        <v>10292</v>
      </c>
      <c r="J7" s="4" t="n">
        <f aca="false">SUMIFS('Set A daily'!$P$2:$P$440,'Set A daily'!$B$2:$B$440,2020,'Set A daily'!$C$2:$C$440,9)</f>
        <v>13423</v>
      </c>
      <c r="K7" s="4" t="n">
        <f aca="false">SUMIFS('Set A daily'!$P$2:$P$440,'Set A daily'!$B$2:$B$440,2020,'Set A daily'!$C$2:$C$440,10)</f>
        <v>12283</v>
      </c>
      <c r="L7" s="4" t="n">
        <f aca="false">SUMIFS('Set A daily'!$P$2:$P$440,'Set A daily'!$B$2:$B$440,2020,'Set A daily'!$C$2:$C$440,11)</f>
        <v>6387</v>
      </c>
      <c r="M7" s="4" t="n">
        <f aca="false">SUMIFS('Set A daily'!$P$2:$P$440,'Set A daily'!$B$2:$B$440,2020,'Set A daily'!$C$2:$C$440,12)</f>
        <v>18792</v>
      </c>
      <c r="N7" s="13" t="n">
        <f aca="false">SUM(B7:M7)</f>
        <v>141739</v>
      </c>
      <c r="O7" s="8" t="n">
        <f aca="false">COUNTIFS('Set A daily'!$B$2:$B$440,2020)</f>
        <v>53</v>
      </c>
      <c r="P7" s="8" t="n">
        <f aca="false">COUNTIFS('Set A daily'!$B$2:$B$440,2020,'Set A daily'!$P$2:$P$440,"&gt;0")</f>
        <v>37</v>
      </c>
    </row>
    <row r="8" customFormat="false" ht="15" hidden="false" customHeight="false" outlineLevel="0" collapsed="false">
      <c r="A8" s="3" t="s">
        <v>67</v>
      </c>
      <c r="B8" s="4" t="n">
        <f aca="false">SUMIFS('Set A daily'!$P$2:$P$440,'Set A daily'!$B$2:$B$440,2021,'Set A daily'!$C$2:$C$440,1)</f>
        <v>5034</v>
      </c>
      <c r="C8" s="4" t="n">
        <f aca="false">SUMIFS('Set A daily'!$P$2:$P$440,'Set A daily'!$B$2:$B$440,2021,'Set A daily'!$C$2:$C$440,2)</f>
        <v>23741</v>
      </c>
      <c r="D8" s="4" t="n">
        <f aca="false">SUMIFS('Set A daily'!$P$2:$P$440,'Set A daily'!$B$2:$B$440,2021,'Set A daily'!$C$2:$C$440,3)</f>
        <v>11502</v>
      </c>
      <c r="E8" s="4" t="n">
        <f aca="false">SUMIFS('Set A daily'!$P$2:$P$440,'Set A daily'!$B$2:$B$440,2021,'Set A daily'!$C$2:$C$440,4)</f>
        <v>6129</v>
      </c>
      <c r="F8" s="4" t="n">
        <f aca="false">SUMIFS('Set A daily'!$P$2:$P$440,'Set A daily'!$B$2:$B$440,2021,'Set A daily'!$C$2:$C$440,5)</f>
        <v>15621</v>
      </c>
      <c r="G8" s="4" t="n">
        <f aca="false">SUMIFS('Set A daily'!$P$2:$P$440,'Set A daily'!$B$2:$B$440,2021,'Set A daily'!$C$2:$C$440,6)</f>
        <v>10314</v>
      </c>
      <c r="H8" s="4" t="n">
        <f aca="false">SUMIFS('Set A daily'!$P$2:$P$440,'Set A daily'!$B$2:$B$440,2021,'Set A daily'!$C$2:$C$440,7)</f>
        <v>13946</v>
      </c>
      <c r="I8" s="4" t="n">
        <f aca="false">SUMIFS('Set A daily'!$P$2:$P$440,'Set A daily'!$B$2:$B$440,2021,'Set A daily'!$C$2:$C$440,8)</f>
        <v>8180</v>
      </c>
      <c r="J8" s="4" t="n">
        <f aca="false">SUMIFS('Set A daily'!$P$2:$P$440,'Set A daily'!$B$2:$B$440,2021,'Set A daily'!$C$2:$C$440,9)</f>
        <v>10546</v>
      </c>
      <c r="K8" s="4" t="n">
        <f aca="false">SUMIFS('Set A daily'!$P$2:$P$440,'Set A daily'!$B$2:$B$440,2021,'Set A daily'!$C$2:$C$440,10)</f>
        <v>22222</v>
      </c>
      <c r="L8" s="4" t="n">
        <f aca="false">SUMIFS('Set A daily'!$P$2:$P$440,'Set A daily'!$B$2:$B$440,2021,'Set A daily'!$C$2:$C$440,11)</f>
        <v>21451</v>
      </c>
      <c r="M8" s="4" t="n">
        <f aca="false">SUMIFS('Set A daily'!$P$2:$P$440,'Set A daily'!$B$2:$B$440,2021,'Set A daily'!$C$2:$C$440,12)</f>
        <v>18647</v>
      </c>
      <c r="N8" s="13" t="n">
        <f aca="false">SUM(B8:M8)</f>
        <v>167333</v>
      </c>
      <c r="O8" s="8" t="n">
        <f aca="false">COUNTIFS('Set A daily'!$B$2:$B$440,2021)</f>
        <v>52</v>
      </c>
      <c r="P8" s="8" t="n">
        <f aca="false">COUNTIFS('Set A daily'!$B$2:$B$440,2021,'Set A daily'!$P$2:$P$440,"&gt;0")</f>
        <v>41</v>
      </c>
    </row>
    <row r="9" customFormat="false" ht="15" hidden="false" customHeight="false" outlineLevel="0" collapsed="false">
      <c r="A9" s="3" t="s">
        <v>68</v>
      </c>
      <c r="B9" s="4" t="n">
        <f aca="false">SUMIFS('Set A daily'!$P$2:$P$440,'Set A daily'!$B$2:$B$440,2022,'Set A daily'!$C$2:$C$440,1)</f>
        <v>2763</v>
      </c>
      <c r="C9" s="4" t="n">
        <f aca="false">SUMIFS('Set A daily'!$P$2:$P$440,'Set A daily'!$B$2:$B$440,2022,'Set A daily'!$C$2:$C$440,2)</f>
        <v>1019</v>
      </c>
      <c r="D9" s="4" t="n">
        <f aca="false">SUMIFS('Set A daily'!$P$2:$P$440,'Set A daily'!$B$2:$B$440,2022,'Set A daily'!$C$2:$C$440,3)</f>
        <v>30847</v>
      </c>
      <c r="E9" s="4" t="n">
        <f aca="false">SUMIFS('Set A daily'!$P$2:$P$440,'Set A daily'!$B$2:$B$440,2022,'Set A daily'!$C$2:$C$440,4)</f>
        <v>8463</v>
      </c>
      <c r="F9" s="4" t="n">
        <f aca="false">SUMIFS('Set A daily'!$P$2:$P$440,'Set A daily'!$B$2:$B$440,2022,'Set A daily'!$C$2:$C$440,5)</f>
        <v>-3473</v>
      </c>
      <c r="G9" s="4" t="n">
        <f aca="false">SUMIFS('Set A daily'!$P$2:$P$440,'Set A daily'!$B$2:$B$440,2022,'Set A daily'!$C$2:$C$440,6)</f>
        <v>15923</v>
      </c>
      <c r="H9" s="4" t="n">
        <f aca="false">SUMIFS('Set A daily'!$P$2:$P$440,'Set A daily'!$B$2:$B$440,2022,'Set A daily'!$C$2:$C$440,7)</f>
        <v>36923</v>
      </c>
      <c r="I9" s="4" t="n">
        <f aca="false">SUMIFS('Set A daily'!$P$2:$P$440,'Set A daily'!$B$2:$B$440,2022,'Set A daily'!$C$2:$C$440,8)</f>
        <v>16290</v>
      </c>
      <c r="J9" s="4" t="n">
        <f aca="false">SUMIFS('Set A daily'!$P$2:$P$440,'Set A daily'!$B$2:$B$440,2022,'Set A daily'!$C$2:$C$440,9)</f>
        <v>31337</v>
      </c>
      <c r="K9" s="4" t="n">
        <f aca="false">SUMIFS('Set A daily'!$P$2:$P$440,'Set A daily'!$B$2:$B$440,2022,'Set A daily'!$C$2:$C$440,10)</f>
        <v>25818</v>
      </c>
      <c r="L9" s="4" t="n">
        <f aca="false">SUMIFS('Set A daily'!$P$2:$P$440,'Set A daily'!$B$2:$B$440,2022,'Set A daily'!$C$2:$C$440,11)</f>
        <v>18678</v>
      </c>
      <c r="M9" s="4" t="n">
        <f aca="false">SUMIFS('Set A daily'!$P$2:$P$440,'Set A daily'!$B$2:$B$440,2022,'Set A daily'!$C$2:$C$440,12)</f>
        <v>11471</v>
      </c>
      <c r="N9" s="13" t="n">
        <f aca="false">SUM(B9:M9)</f>
        <v>196059</v>
      </c>
      <c r="O9" s="8" t="n">
        <f aca="false">COUNTIFS('Set A daily'!$B$2:$B$440,2022)</f>
        <v>52</v>
      </c>
      <c r="P9" s="8" t="n">
        <f aca="false">COUNTIFS('Set A daily'!$B$2:$B$440,2022,'Set A daily'!$P$2:$P$440,"&gt;0")</f>
        <v>41</v>
      </c>
    </row>
    <row r="10" customFormat="false" ht="15" hidden="false" customHeight="false" outlineLevel="0" collapsed="false">
      <c r="A10" s="3" t="s">
        <v>69</v>
      </c>
      <c r="B10" s="4" t="n">
        <f aca="false">SUMIFS('Set A daily'!$P$2:$P$440,'Set A daily'!$B$2:$B$440,2023,'Set A daily'!$C$2:$C$440,1)</f>
        <v>8360</v>
      </c>
      <c r="C10" s="4" t="n">
        <f aca="false">SUMIFS('Set A daily'!$P$2:$P$440,'Set A daily'!$B$2:$B$440,2023,'Set A daily'!$C$2:$C$440,2)</f>
        <v>5736</v>
      </c>
      <c r="D10" s="4" t="n">
        <f aca="false">SUMIFS('Set A daily'!$P$2:$P$440,'Set A daily'!$B$2:$B$440,2023,'Set A daily'!$C$2:$C$440,3)</f>
        <v>-531</v>
      </c>
      <c r="E10" s="4" t="n">
        <f aca="false">SUMIFS('Set A daily'!$P$2:$P$440,'Set A daily'!$B$2:$B$440,2023,'Set A daily'!$C$2:$C$440,4)</f>
        <v>5738</v>
      </c>
      <c r="F10" s="4" t="n">
        <f aca="false">SUMIFS('Set A daily'!$P$2:$P$440,'Set A daily'!$B$2:$B$440,2023,'Set A daily'!$C$2:$C$440,5)</f>
        <v>-512</v>
      </c>
      <c r="G10" s="4" t="n">
        <f aca="false">SUMIFS('Set A daily'!$P$2:$P$440,'Set A daily'!$B$2:$B$440,2023,'Set A daily'!$C$2:$C$440,6)</f>
        <v>-2938</v>
      </c>
      <c r="H10" s="4" t="n">
        <f aca="false">SUMIFS('Set A daily'!$P$2:$P$440,'Set A daily'!$B$2:$B$440,2023,'Set A daily'!$C$2:$C$440,7)</f>
        <v>2733</v>
      </c>
      <c r="I10" s="4" t="n">
        <f aca="false">SUMIFS('Set A daily'!$P$2:$P$440,'Set A daily'!$B$2:$B$440,2023,'Set A daily'!$C$2:$C$440,8)</f>
        <v>-607</v>
      </c>
      <c r="J10" s="4" t="n">
        <f aca="false">SUMIFS('Set A daily'!$P$2:$P$440,'Set A daily'!$B$2:$B$440,2023,'Set A daily'!$C$2:$C$440,9)</f>
        <v>10911</v>
      </c>
      <c r="K10" s="4" t="n">
        <f aca="false">SUMIFS('Set A daily'!$P$2:$P$440,'Set A daily'!$B$2:$B$440,2023,'Set A daily'!$C$2:$C$440,10)</f>
        <v>178</v>
      </c>
      <c r="L10" s="4" t="n">
        <f aca="false">SUMIFS('Set A daily'!$P$2:$P$440,'Set A daily'!$B$2:$B$440,2023,'Set A daily'!$C$2:$C$440,11)</f>
        <v>20132</v>
      </c>
      <c r="M10" s="4" t="n">
        <f aca="false">SUMIFS('Set A daily'!$P$2:$P$440,'Set A daily'!$B$2:$B$440,2023,'Set A daily'!$C$2:$C$440,12)</f>
        <v>12154</v>
      </c>
      <c r="N10" s="13" t="n">
        <f aca="false">SUM(B10:M10)</f>
        <v>61354</v>
      </c>
      <c r="O10" s="8" t="n">
        <f aca="false">COUNTIFS('Set A daily'!$B$2:$B$440,2023)</f>
        <v>52</v>
      </c>
      <c r="P10" s="8" t="n">
        <f aca="false">COUNTIFS('Set A daily'!$B$2:$B$440,2023,'Set A daily'!$P$2:$P$440,"&gt;0")</f>
        <v>34</v>
      </c>
    </row>
    <row r="11" customFormat="false" ht="15" hidden="false" customHeight="false" outlineLevel="0" collapsed="false">
      <c r="A11" s="3" t="s">
        <v>70</v>
      </c>
      <c r="B11" s="4" t="n">
        <f aca="false">SUMIFS('Set A daily'!$P$2:$P$440,'Set A daily'!$B$2:$B$440,2024,'Set A daily'!$C$2:$C$440,1)</f>
        <v>15005</v>
      </c>
      <c r="C11" s="4" t="n">
        <f aca="false">SUMIFS('Set A daily'!$P$2:$P$440,'Set A daily'!$B$2:$B$440,2024,'Set A daily'!$C$2:$C$440,2)</f>
        <v>36483</v>
      </c>
      <c r="D11" s="4" t="n">
        <f aca="false">SUMIFS('Set A daily'!$P$2:$P$440,'Set A daily'!$B$2:$B$440,2024,'Set A daily'!$C$2:$C$440,3)</f>
        <v>-297</v>
      </c>
      <c r="E11" s="4" t="n">
        <f aca="false">SUMIFS('Set A daily'!$P$2:$P$440,'Set A daily'!$B$2:$B$440,2024,'Set A daily'!$C$2:$C$440,4)</f>
        <v>-5028</v>
      </c>
      <c r="F11" s="4" t="n">
        <f aca="false">SUMIFS('Set A daily'!$P$2:$P$440,'Set A daily'!$B$2:$B$440,2024,'Set A daily'!$C$2:$C$440,5)</f>
        <v>43540</v>
      </c>
      <c r="G11" s="4" t="n">
        <f aca="false">SUMIFS('Set A daily'!$P$2:$P$440,'Set A daily'!$B$2:$B$440,2024,'Set A daily'!$C$2:$C$440,6)</f>
        <v>31119</v>
      </c>
      <c r="H11" s="4" t="n">
        <f aca="false">SUMIFS('Set A daily'!$P$2:$P$440,'Set A daily'!$B$2:$B$440,2024,'Set A daily'!$C$2:$C$440,7)</f>
        <v>19220</v>
      </c>
      <c r="I11" s="4" t="n">
        <f aca="false">SUMIFS('Set A daily'!$P$2:$P$440,'Set A daily'!$B$2:$B$440,2024,'Set A daily'!$C$2:$C$440,8)</f>
        <v>35502</v>
      </c>
      <c r="J11" s="4" t="n">
        <f aca="false">SUMIFS('Set A daily'!$P$2:$P$440,'Set A daily'!$B$2:$B$440,2024,'Set A daily'!$C$2:$C$440,9)</f>
        <v>9671</v>
      </c>
      <c r="K11" s="4" t="n">
        <f aca="false">SUMIFS('Set A daily'!$P$2:$P$440,'Set A daily'!$B$2:$B$440,2024,'Set A daily'!$C$2:$C$440,10)</f>
        <v>22490</v>
      </c>
      <c r="L11" s="4" t="n">
        <f aca="false">SUMIFS('Set A daily'!$P$2:$P$440,'Set A daily'!$B$2:$B$440,2024,'Set A daily'!$C$2:$C$440,11)</f>
        <v>31700</v>
      </c>
      <c r="M11" s="4" t="n">
        <f aca="false">SUMIFS('Set A daily'!$P$2:$P$440,'Set A daily'!$B$2:$B$440,2024,'Set A daily'!$C$2:$C$440,12)</f>
        <v>9520</v>
      </c>
      <c r="N11" s="13" t="n">
        <f aca="false">SUM(B11:M11)</f>
        <v>248925</v>
      </c>
      <c r="O11" s="8" t="n">
        <f aca="false">COUNTIFS('Set A daily'!$B$2:$B$440,2024)</f>
        <v>52</v>
      </c>
      <c r="P11" s="8" t="n">
        <f aca="false">COUNTIFS('Set A daily'!$B$2:$B$440,2024,'Set A daily'!$P$2:$P$440,"&gt;0")</f>
        <v>38</v>
      </c>
    </row>
    <row r="12" customFormat="false" ht="15" hidden="false" customHeight="false" outlineLevel="0" collapsed="false">
      <c r="A12" s="3" t="s">
        <v>71</v>
      </c>
      <c r="B12" s="4" t="n">
        <f aca="false">SUMIFS('Set A daily'!$P$2:$P$440,'Set A daily'!$B$2:$B$440,2025,'Set A daily'!$C$2:$C$440,1)</f>
        <v>36737</v>
      </c>
      <c r="C12" s="4" t="n">
        <f aca="false">SUMIFS('Set A daily'!$P$2:$P$440,'Set A daily'!$B$2:$B$440,2025,'Set A daily'!$C$2:$C$440,2)</f>
        <v>25096</v>
      </c>
      <c r="D12" s="4" t="n">
        <f aca="false">SUMIFS('Set A daily'!$P$2:$P$440,'Set A daily'!$B$2:$B$440,2025,'Set A daily'!$C$2:$C$440,3)</f>
        <v>-3176</v>
      </c>
      <c r="E12" s="4" t="n">
        <f aca="false">SUMIFS('Set A daily'!$P$2:$P$440,'Set A daily'!$B$2:$B$440,2025,'Set A daily'!$C$2:$C$440,4)</f>
        <v>53280</v>
      </c>
      <c r="F12" s="4" t="n">
        <f aca="false">SUMIFS('Set A daily'!$P$2:$P$440,'Set A daily'!$B$2:$B$440,2025,'Set A daily'!$C$2:$C$440,5)</f>
        <v>21782</v>
      </c>
      <c r="G12" s="4" t="n">
        <f aca="false">SUMIFS('Set A daily'!$P$2:$P$440,'Set A daily'!$B$2:$B$440,2025,'Set A daily'!$C$2:$C$440,6)</f>
        <v>11312</v>
      </c>
      <c r="H12" s="4" t="n">
        <f aca="false">SUMIFS('Set A daily'!$P$2:$P$440,'Set A daily'!$B$2:$B$440,2025,'Set A daily'!$C$2:$C$440,7)</f>
        <v>12615</v>
      </c>
      <c r="I12" s="4" t="n">
        <f aca="false">SUMIFS('Set A daily'!$P$2:$P$440,'Set A daily'!$B$2:$B$440,2025,'Set A daily'!$C$2:$C$440,8)</f>
        <v>-5290</v>
      </c>
      <c r="J12" s="4" t="n">
        <f aca="false">SUMIFS('Set A daily'!$P$2:$P$440,'Set A daily'!$B$2:$B$440,2025,'Set A daily'!$C$2:$C$440,9)</f>
        <v>9623</v>
      </c>
      <c r="K12" s="4" t="n">
        <f aca="false">SUMIFS('Set A daily'!$P$2:$P$440,'Set A daily'!$B$2:$B$440,2025,'Set A daily'!$C$2:$C$440,10)</f>
        <v>11925</v>
      </c>
      <c r="L12" s="4" t="n">
        <f aca="false">SUMIFS('Set A daily'!$P$2:$P$440,'Set A daily'!$B$2:$B$440,2025,'Set A daily'!$C$2:$C$440,11)</f>
        <v>2047</v>
      </c>
      <c r="M12" s="4" t="n">
        <f aca="false">SUMIFS('Set A daily'!$P$2:$P$440,'Set A daily'!$B$2:$B$440,2025,'Set A daily'!$C$2:$C$440,12)</f>
        <v>24084</v>
      </c>
      <c r="N12" s="13" t="n">
        <f aca="false">SUM(B12:M12)</f>
        <v>200035</v>
      </c>
      <c r="O12" s="8" t="n">
        <f aca="false">COUNTIFS('Set A daily'!$B$2:$B$440,2025)</f>
        <v>53</v>
      </c>
      <c r="P12" s="8" t="n">
        <f aca="false">COUNTIFS('Set A daily'!$B$2:$B$440,2025,'Set A daily'!$P$2:$P$440,"&gt;0")</f>
        <v>36</v>
      </c>
    </row>
    <row r="13" customFormat="false" ht="15" hidden="false" customHeight="false" outlineLevel="0" collapsed="false">
      <c r="A13" s="3" t="s">
        <v>72</v>
      </c>
      <c r="B13" s="4" t="n">
        <f aca="false">SUMIFS('Set A daily'!$P$2:$P$440,'Set A daily'!$B$2:$B$440,2026,'Set A daily'!$C$2:$C$440,1)</f>
        <v>13339</v>
      </c>
      <c r="C13" s="4" t="n">
        <f aca="false">SUMIFS('Set A daily'!$P$2:$P$440,'Set A daily'!$B$2:$B$440,2026,'Set A daily'!$C$2:$C$440,2)</f>
        <v>53280</v>
      </c>
      <c r="D13" s="4" t="n">
        <f aca="false">SUMIFS('Set A daily'!$P$2:$P$440,'Set A daily'!$B$2:$B$440,2026,'Set A daily'!$C$2:$C$440,3)</f>
        <v>50140</v>
      </c>
      <c r="E13" s="4" t="n">
        <f aca="false">SUMIFS('Set A daily'!$P$2:$P$440,'Set A daily'!$B$2:$B$440,2026,'Set A daily'!$C$2:$C$440,4)</f>
        <v>35270</v>
      </c>
      <c r="F13" s="4" t="n">
        <f aca="false">SUMIFS('Set A daily'!$P$2:$P$440,'Set A daily'!$B$2:$B$440,2026,'Set A daily'!$C$2:$C$440,5)</f>
        <v>15083</v>
      </c>
      <c r="G13" s="4" t="n">
        <f aca="false">SUMIFS('Set A daily'!$P$2:$P$440,'Set A daily'!$B$2:$B$440,2026,'Set A daily'!$C$2:$C$440,6)</f>
        <v>5614</v>
      </c>
      <c r="H13" s="4" t="n">
        <f aca="false">SUMIFS('Set A daily'!$P$2:$P$440,'Set A daily'!$B$2:$B$440,2026,'Set A daily'!$C$2:$C$440,7)</f>
        <v>7521</v>
      </c>
      <c r="I13" s="4" t="n">
        <f aca="false">SUMIFS('Set A daily'!$P$2:$P$440,'Set A daily'!$B$2:$B$440,2026,'Set A daily'!$C$2:$C$440,8)</f>
        <v>11910</v>
      </c>
      <c r="J13" s="4" t="n">
        <f aca="false">SUMIFS('Set A daily'!$P$2:$P$440,'Set A daily'!$B$2:$B$440,2026,'Set A daily'!$C$2:$C$440,9)</f>
        <v>5692</v>
      </c>
      <c r="K13" s="4" t="n">
        <f aca="false">SUMIFS('Set A daily'!$P$2:$P$440,'Set A daily'!$B$2:$B$440,2026,'Set A daily'!$C$2:$C$440,10)</f>
        <v>9936</v>
      </c>
      <c r="L13" s="4" t="n">
        <f aca="false">SUMIFS('Set A daily'!$P$2:$P$440,'Set A daily'!$B$2:$B$440,2026,'Set A daily'!$C$2:$C$440,11)</f>
        <v>0</v>
      </c>
      <c r="M13" s="4" t="n">
        <f aca="false">SUMIFS('Set A daily'!$P$2:$P$440,'Set A daily'!$B$2:$B$440,2026,'Set A daily'!$C$2:$C$440,12)</f>
        <v>0</v>
      </c>
      <c r="N13" s="13" t="n">
        <f aca="false">SUM(B13:M13)</f>
        <v>207785</v>
      </c>
      <c r="O13" s="8" t="n">
        <f aca="false">COUNTIFS('Set A daily'!$B$2:$B$440,2026)</f>
        <v>42</v>
      </c>
      <c r="P13" s="8" t="n">
        <f aca="false">COUNTIFS('Set A daily'!$B$2:$B$440,2026,'Set A daily'!$P$2:$P$440,"&gt;0")</f>
        <v>31</v>
      </c>
    </row>
    <row r="14" customFormat="false" ht="15" hidden="false" customHeight="false" outlineLevel="0" collapsed="false">
      <c r="A14" s="3" t="s">
        <v>73</v>
      </c>
      <c r="B14" s="13" t="n">
        <f aca="false">SUM(B3:B13)</f>
        <v>72559</v>
      </c>
      <c r="C14" s="13" t="n">
        <f aca="false">SUM(C3:C13)</f>
        <v>151234</v>
      </c>
      <c r="D14" s="13" t="n">
        <f aca="false">SUM(D3:D13)</f>
        <v>122358</v>
      </c>
      <c r="E14" s="13" t="n">
        <f aca="false">SUM(E3:E13)</f>
        <v>134033</v>
      </c>
      <c r="F14" s="13" t="n">
        <f aca="false">SUM(F3:F13)</f>
        <v>137455</v>
      </c>
      <c r="G14" s="13" t="n">
        <f aca="false">SUM(G3:G13)</f>
        <v>70177</v>
      </c>
      <c r="H14" s="13" t="n">
        <f aca="false">SUM(H3:H13)</f>
        <v>107140</v>
      </c>
      <c r="I14" s="13" t="n">
        <f aca="false">SUM(I3:I13)</f>
        <v>92398</v>
      </c>
      <c r="J14" s="13" t="n">
        <f aca="false">SUM(J3:J13)</f>
        <v>106424</v>
      </c>
      <c r="K14" s="13" t="n">
        <f aca="false">SUM(K3:K13)</f>
        <v>116882</v>
      </c>
      <c r="L14" s="13" t="n">
        <f aca="false">SUM(L3:L13)</f>
        <v>105283</v>
      </c>
      <c r="M14" s="13" t="n">
        <f aca="false">SUM(M3:M13)</f>
        <v>111993</v>
      </c>
      <c r="N14" s="13" t="n">
        <f aca="false">SUM(N3:N13)</f>
        <v>1327936</v>
      </c>
      <c r="O14" s="3" t="n">
        <f aca="false">SUM(O3:O13)</f>
        <v>439</v>
      </c>
      <c r="P14" s="3" t="n">
        <f aca="false">SUM(P3:P13)</f>
        <v>310</v>
      </c>
    </row>
    <row r="17" customFormat="false" ht="15" hidden="false" customHeight="false" outlineLevel="0" collapsed="false">
      <c r="A17" s="12" t="s">
        <v>74</v>
      </c>
    </row>
    <row r="18" customFormat="false" ht="26.85" hidden="false" customHeight="false" outlineLevel="0" collapsed="false">
      <c r="A18" s="2" t="s">
        <v>19</v>
      </c>
      <c r="B18" s="2" t="s">
        <v>47</v>
      </c>
      <c r="C18" s="2" t="s">
        <v>48</v>
      </c>
      <c r="D18" s="2" t="s">
        <v>49</v>
      </c>
      <c r="E18" s="2" t="s">
        <v>50</v>
      </c>
      <c r="F18" s="2" t="s">
        <v>51</v>
      </c>
      <c r="G18" s="2" t="s">
        <v>52</v>
      </c>
      <c r="H18" s="2" t="s">
        <v>53</v>
      </c>
      <c r="I18" s="2" t="s">
        <v>54</v>
      </c>
      <c r="J18" s="2" t="s">
        <v>55</v>
      </c>
      <c r="K18" s="2" t="s">
        <v>56</v>
      </c>
      <c r="L18" s="2" t="s">
        <v>57</v>
      </c>
      <c r="M18" s="2" t="s">
        <v>58</v>
      </c>
      <c r="N18" s="2" t="s">
        <v>59</v>
      </c>
      <c r="O18" s="2" t="s">
        <v>60</v>
      </c>
      <c r="P18" s="2" t="s">
        <v>61</v>
      </c>
    </row>
    <row r="19" customFormat="false" ht="15" hidden="false" customHeight="false" outlineLevel="0" collapsed="false">
      <c r="A19" s="3" t="s">
        <v>62</v>
      </c>
      <c r="B19" s="4" t="n">
        <f aca="false">SUMIFS('Set B daily'!$P$2:$P$440,'Set B daily'!$B$2:$B$440,2016,'Set B daily'!$C$2:$C$440,1)</f>
        <v>-2362</v>
      </c>
      <c r="C19" s="4" t="n">
        <f aca="false">SUMIFS('Set B daily'!$P$2:$P$440,'Set B daily'!$B$2:$B$440,2016,'Set B daily'!$C$2:$C$440,2)</f>
        <v>2242</v>
      </c>
      <c r="D19" s="4" t="n">
        <f aca="false">SUMIFS('Set B daily'!$P$2:$P$440,'Set B daily'!$B$2:$B$440,2016,'Set B daily'!$C$2:$C$440,3)</f>
        <v>1594</v>
      </c>
      <c r="E19" s="4" t="n">
        <f aca="false">SUMIFS('Set B daily'!$P$2:$P$440,'Set B daily'!$B$2:$B$440,2016,'Set B daily'!$C$2:$C$440,4)</f>
        <v>1021</v>
      </c>
      <c r="F19" s="4" t="n">
        <f aca="false">SUMIFS('Set B daily'!$P$2:$P$440,'Set B daily'!$B$2:$B$440,2016,'Set B daily'!$C$2:$C$440,5)</f>
        <v>-2488</v>
      </c>
      <c r="G19" s="4" t="n">
        <f aca="false">SUMIFS('Set B daily'!$P$2:$P$440,'Set B daily'!$B$2:$B$440,2016,'Set B daily'!$C$2:$C$440,6)</f>
        <v>-2344</v>
      </c>
      <c r="H19" s="4" t="n">
        <f aca="false">SUMIFS('Set B daily'!$P$2:$P$440,'Set B daily'!$B$2:$B$440,2016,'Set B daily'!$C$2:$C$440,7)</f>
        <v>4070</v>
      </c>
      <c r="I19" s="4" t="n">
        <f aca="false">SUMIFS('Set B daily'!$P$2:$P$440,'Set B daily'!$B$2:$B$440,2016,'Set B daily'!$C$2:$C$440,8)</f>
        <v>4297</v>
      </c>
      <c r="J19" s="4" t="n">
        <f aca="false">SUMIFS('Set B daily'!$P$2:$P$440,'Set B daily'!$B$2:$B$440,2016,'Set B daily'!$C$2:$C$440,9)</f>
        <v>111</v>
      </c>
      <c r="K19" s="4" t="n">
        <f aca="false">SUMIFS('Set B daily'!$P$2:$P$440,'Set B daily'!$B$2:$B$440,2016,'Set B daily'!$C$2:$C$440,10)</f>
        <v>-2376</v>
      </c>
      <c r="L19" s="4" t="n">
        <f aca="false">SUMIFS('Set B daily'!$P$2:$P$440,'Set B daily'!$B$2:$B$440,2016,'Set B daily'!$C$2:$C$440,11)</f>
        <v>1683</v>
      </c>
      <c r="M19" s="4" t="n">
        <f aca="false">SUMIFS('Set B daily'!$P$2:$P$440,'Set B daily'!$B$2:$B$440,2016,'Set B daily'!$C$2:$C$440,12)</f>
        <v>2770</v>
      </c>
      <c r="N19" s="13" t="n">
        <f aca="false">SUM(B19:M19)</f>
        <v>8218</v>
      </c>
      <c r="O19" s="8" t="n">
        <f aca="false">COUNTIFS('Set B daily'!$B$2:$B$440,2016)</f>
        <v>12</v>
      </c>
      <c r="P19" s="8" t="n">
        <f aca="false">COUNTIFS('Set B daily'!$B$2:$B$440,2016,'Set B daily'!$P$2:$P$440,"&gt;0")</f>
        <v>8</v>
      </c>
    </row>
    <row r="20" customFormat="false" ht="15" hidden="false" customHeight="false" outlineLevel="0" collapsed="false">
      <c r="A20" s="3" t="s">
        <v>63</v>
      </c>
      <c r="B20" s="4" t="n">
        <f aca="false">SUMIFS('Set B daily'!$P$2:$P$440,'Set B daily'!$B$2:$B$440,2017,'Set B daily'!$C$2:$C$440,1)</f>
        <v>-2337</v>
      </c>
      <c r="C20" s="4" t="n">
        <f aca="false">SUMIFS('Set B daily'!$P$2:$P$440,'Set B daily'!$B$2:$B$440,2017,'Set B daily'!$C$2:$C$440,2)</f>
        <v>-1412</v>
      </c>
      <c r="D20" s="4" t="n">
        <f aca="false">SUMIFS('Set B daily'!$P$2:$P$440,'Set B daily'!$B$2:$B$440,2017,'Set B daily'!$C$2:$C$440,3)</f>
        <v>-1164</v>
      </c>
      <c r="E20" s="4" t="n">
        <f aca="false">SUMIFS('Set B daily'!$P$2:$P$440,'Set B daily'!$B$2:$B$440,2017,'Set B daily'!$C$2:$C$440,4)</f>
        <v>2367</v>
      </c>
      <c r="F20" s="4" t="n">
        <f aca="false">SUMIFS('Set B daily'!$P$2:$P$440,'Set B daily'!$B$2:$B$440,2017,'Set B daily'!$C$2:$C$440,5)</f>
        <v>-409</v>
      </c>
      <c r="G20" s="4" t="n">
        <f aca="false">SUMIFS('Set B daily'!$P$2:$P$440,'Set B daily'!$B$2:$B$440,2017,'Set B daily'!$C$2:$C$440,6)</f>
        <v>-749</v>
      </c>
      <c r="H20" s="4" t="n">
        <f aca="false">SUMIFS('Set B daily'!$P$2:$P$440,'Set B daily'!$B$2:$B$440,2017,'Set B daily'!$C$2:$C$440,7)</f>
        <v>-3819</v>
      </c>
      <c r="I20" s="4" t="n">
        <f aca="false">SUMIFS('Set B daily'!$P$2:$P$440,'Set B daily'!$B$2:$B$440,2017,'Set B daily'!$C$2:$C$440,8)</f>
        <v>1653</v>
      </c>
      <c r="J20" s="4" t="n">
        <f aca="false">SUMIFS('Set B daily'!$P$2:$P$440,'Set B daily'!$B$2:$B$440,2017,'Set B daily'!$C$2:$C$440,9)</f>
        <v>-2399</v>
      </c>
      <c r="K20" s="4" t="n">
        <f aca="false">SUMIFS('Set B daily'!$P$2:$P$440,'Set B daily'!$B$2:$B$440,2017,'Set B daily'!$C$2:$C$440,10)</f>
        <v>5748</v>
      </c>
      <c r="L20" s="4" t="n">
        <f aca="false">SUMIFS('Set B daily'!$P$2:$P$440,'Set B daily'!$B$2:$B$440,2017,'Set B daily'!$C$2:$C$440,11)</f>
        <v>275</v>
      </c>
      <c r="M20" s="4" t="n">
        <f aca="false">SUMIFS('Set B daily'!$P$2:$P$440,'Set B daily'!$B$2:$B$440,2017,'Set B daily'!$C$2:$C$440,12)</f>
        <v>-672</v>
      </c>
      <c r="N20" s="13" t="n">
        <f aca="false">SUM(B20:M20)</f>
        <v>-2918</v>
      </c>
      <c r="O20" s="8" t="n">
        <f aca="false">COUNTIFS('Set B daily'!$B$2:$B$440,2017)</f>
        <v>12</v>
      </c>
      <c r="P20" s="8" t="n">
        <f aca="false">COUNTIFS('Set B daily'!$B$2:$B$440,2017,'Set B daily'!$P$2:$P$440,"&gt;0")</f>
        <v>4</v>
      </c>
    </row>
    <row r="21" customFormat="false" ht="15" hidden="false" customHeight="false" outlineLevel="0" collapsed="false">
      <c r="A21" s="3" t="s">
        <v>64</v>
      </c>
      <c r="B21" s="4" t="n">
        <f aca="false">SUMIFS('Set B daily'!$P$2:$P$440,'Set B daily'!$B$2:$B$440,2018,'Set B daily'!$C$2:$C$440,1)</f>
        <v>733</v>
      </c>
      <c r="C21" s="4" t="n">
        <f aca="false">SUMIFS('Set B daily'!$P$2:$P$440,'Set B daily'!$B$2:$B$440,2018,'Set B daily'!$C$2:$C$440,2)</f>
        <v>2457</v>
      </c>
      <c r="D21" s="4" t="n">
        <f aca="false">SUMIFS('Set B daily'!$P$2:$P$440,'Set B daily'!$B$2:$B$440,2018,'Set B daily'!$C$2:$C$440,3)</f>
        <v>367</v>
      </c>
      <c r="E21" s="4" t="n">
        <f aca="false">SUMIFS('Set B daily'!$P$2:$P$440,'Set B daily'!$B$2:$B$440,2018,'Set B daily'!$C$2:$C$440,4)</f>
        <v>-3197</v>
      </c>
      <c r="F21" s="4" t="n">
        <f aca="false">SUMIFS('Set B daily'!$P$2:$P$440,'Set B daily'!$B$2:$B$440,2018,'Set B daily'!$C$2:$C$440,5)</f>
        <v>4271</v>
      </c>
      <c r="G21" s="4" t="n">
        <f aca="false">SUMIFS('Set B daily'!$P$2:$P$440,'Set B daily'!$B$2:$B$440,2018,'Set B daily'!$C$2:$C$440,6)</f>
        <v>1880</v>
      </c>
      <c r="H21" s="4" t="n">
        <f aca="false">SUMIFS('Set B daily'!$P$2:$P$440,'Set B daily'!$B$2:$B$440,2018,'Set B daily'!$C$2:$C$440,7)</f>
        <v>-1742</v>
      </c>
      <c r="I21" s="4" t="n">
        <f aca="false">SUMIFS('Set B daily'!$P$2:$P$440,'Set B daily'!$B$2:$B$440,2018,'Set B daily'!$C$2:$C$440,8)</f>
        <v>1236</v>
      </c>
      <c r="J21" s="4" t="n">
        <f aca="false">SUMIFS('Set B daily'!$P$2:$P$440,'Set B daily'!$B$2:$B$440,2018,'Set B daily'!$C$2:$C$440,9)</f>
        <v>5350</v>
      </c>
      <c r="K21" s="4" t="n">
        <f aca="false">SUMIFS('Set B daily'!$P$2:$P$440,'Set B daily'!$B$2:$B$440,2018,'Set B daily'!$C$2:$C$440,10)</f>
        <v>498</v>
      </c>
      <c r="L21" s="4" t="n">
        <f aca="false">SUMIFS('Set B daily'!$P$2:$P$440,'Set B daily'!$B$2:$B$440,2018,'Set B daily'!$C$2:$C$440,11)</f>
        <v>1187</v>
      </c>
      <c r="M21" s="4" t="n">
        <f aca="false">SUMIFS('Set B daily'!$P$2:$P$440,'Set B daily'!$B$2:$B$440,2018,'Set B daily'!$C$2:$C$440,12)</f>
        <v>-2844</v>
      </c>
      <c r="N21" s="13" t="n">
        <f aca="false">SUM(B21:M21)</f>
        <v>10196</v>
      </c>
      <c r="O21" s="8" t="n">
        <f aca="false">COUNTIFS('Set B daily'!$B$2:$B$440,2018)</f>
        <v>12</v>
      </c>
      <c r="P21" s="8" t="n">
        <f aca="false">COUNTIFS('Set B daily'!$B$2:$B$440,2018,'Set B daily'!$P$2:$P$440,"&gt;0")</f>
        <v>9</v>
      </c>
    </row>
    <row r="22" customFormat="false" ht="15" hidden="false" customHeight="false" outlineLevel="0" collapsed="false">
      <c r="A22" s="3" t="s">
        <v>65</v>
      </c>
      <c r="B22" s="4" t="n">
        <f aca="false">SUMIFS('Set B daily'!$P$2:$P$440,'Set B daily'!$B$2:$B$440,2019,'Set B daily'!$C$2:$C$440,1)</f>
        <v>390</v>
      </c>
      <c r="C22" s="4" t="n">
        <f aca="false">SUMIFS('Set B daily'!$P$2:$P$440,'Set B daily'!$B$2:$B$440,2019,'Set B daily'!$C$2:$C$440,2)</f>
        <v>13921</v>
      </c>
      <c r="D22" s="4" t="n">
        <f aca="false">SUMIFS('Set B daily'!$P$2:$P$440,'Set B daily'!$B$2:$B$440,2019,'Set B daily'!$C$2:$C$440,3)</f>
        <v>515</v>
      </c>
      <c r="E22" s="4" t="n">
        <f aca="false">SUMIFS('Set B daily'!$P$2:$P$440,'Set B daily'!$B$2:$B$440,2019,'Set B daily'!$C$2:$C$440,4)</f>
        <v>-943</v>
      </c>
      <c r="F22" s="4" t="n">
        <f aca="false">SUMIFS('Set B daily'!$P$2:$P$440,'Set B daily'!$B$2:$B$440,2019,'Set B daily'!$C$2:$C$440,5)</f>
        <v>19624</v>
      </c>
      <c r="G22" s="4" t="n">
        <f aca="false">SUMIFS('Set B daily'!$P$2:$P$440,'Set B daily'!$B$2:$B$440,2019,'Set B daily'!$C$2:$C$440,6)</f>
        <v>-2730</v>
      </c>
      <c r="H22" s="4" t="n">
        <f aca="false">SUMIFS('Set B daily'!$P$2:$P$440,'Set B daily'!$B$2:$B$440,2019,'Set B daily'!$C$2:$C$440,7)</f>
        <v>12935</v>
      </c>
      <c r="I22" s="4" t="n">
        <f aca="false">SUMIFS('Set B daily'!$P$2:$P$440,'Set B daily'!$B$2:$B$440,2019,'Set B daily'!$C$2:$C$440,8)</f>
        <v>11427</v>
      </c>
      <c r="J22" s="4" t="n">
        <f aca="false">SUMIFS('Set B daily'!$P$2:$P$440,'Set B daily'!$B$2:$B$440,2019,'Set B daily'!$C$2:$C$440,9)</f>
        <v>8894</v>
      </c>
      <c r="K22" s="4" t="n">
        <f aca="false">SUMIFS('Set B daily'!$P$2:$P$440,'Set B daily'!$B$2:$B$440,2019,'Set B daily'!$C$2:$C$440,10)</f>
        <v>1871</v>
      </c>
      <c r="L22" s="4" t="n">
        <f aca="false">SUMIFS('Set B daily'!$P$2:$P$440,'Set B daily'!$B$2:$B$440,2019,'Set B daily'!$C$2:$C$440,11)</f>
        <v>4919</v>
      </c>
      <c r="M22" s="4" t="n">
        <f aca="false">SUMIFS('Set B daily'!$P$2:$P$440,'Set B daily'!$B$2:$B$440,2019,'Set B daily'!$C$2:$C$440,12)</f>
        <v>5023</v>
      </c>
      <c r="N22" s="13" t="n">
        <f aca="false">SUM(B22:M22)</f>
        <v>75846</v>
      </c>
      <c r="O22" s="8" t="n">
        <f aca="false">COUNTIFS('Set B daily'!$B$2:$B$440,2019)</f>
        <v>47</v>
      </c>
      <c r="P22" s="8" t="n">
        <f aca="false">COUNTIFS('Set B daily'!$B$2:$B$440,2019,'Set B daily'!$P$2:$P$440,"&gt;0")</f>
        <v>34</v>
      </c>
    </row>
    <row r="23" customFormat="false" ht="15" hidden="false" customHeight="false" outlineLevel="0" collapsed="false">
      <c r="A23" s="3" t="s">
        <v>66</v>
      </c>
      <c r="B23" s="4" t="n">
        <f aca="false">SUMIFS('Set B daily'!$P$2:$P$440,'Set B daily'!$B$2:$B$440,2020,'Set B daily'!$C$2:$C$440,1)</f>
        <v>10441</v>
      </c>
      <c r="C23" s="4" t="n">
        <f aca="false">SUMIFS('Set B daily'!$P$2:$P$440,'Set B daily'!$B$2:$B$440,2020,'Set B daily'!$C$2:$C$440,2)</f>
        <v>-6993</v>
      </c>
      <c r="D23" s="4" t="n">
        <f aca="false">SUMIFS('Set B daily'!$P$2:$P$440,'Set B daily'!$B$2:$B$440,2020,'Set B daily'!$C$2:$C$440,3)</f>
        <v>37695</v>
      </c>
      <c r="E23" s="4" t="n">
        <f aca="false">SUMIFS('Set B daily'!$P$2:$P$440,'Set B daily'!$B$2:$B$440,2020,'Set B daily'!$C$2:$C$440,4)</f>
        <v>13342</v>
      </c>
      <c r="F23" s="4" t="n">
        <f aca="false">SUMIFS('Set B daily'!$P$2:$P$440,'Set B daily'!$B$2:$B$440,2020,'Set B daily'!$C$2:$C$440,5)</f>
        <v>33207</v>
      </c>
      <c r="G23" s="4" t="n">
        <f aca="false">SUMIFS('Set B daily'!$P$2:$P$440,'Set B daily'!$B$2:$B$440,2020,'Set B daily'!$C$2:$C$440,6)</f>
        <v>-2567</v>
      </c>
      <c r="H23" s="4" t="n">
        <f aca="false">SUMIFS('Set B daily'!$P$2:$P$440,'Set B daily'!$B$2:$B$440,2020,'Set B daily'!$C$2:$C$440,7)</f>
        <v>-2911</v>
      </c>
      <c r="I23" s="4" t="n">
        <f aca="false">SUMIFS('Set B daily'!$P$2:$P$440,'Set B daily'!$B$2:$B$440,2020,'Set B daily'!$C$2:$C$440,8)</f>
        <v>7871</v>
      </c>
      <c r="J23" s="4" t="n">
        <f aca="false">SUMIFS('Set B daily'!$P$2:$P$440,'Set B daily'!$B$2:$B$440,2020,'Set B daily'!$C$2:$C$440,9)</f>
        <v>17432</v>
      </c>
      <c r="K23" s="4" t="n">
        <f aca="false">SUMIFS('Set B daily'!$P$2:$P$440,'Set B daily'!$B$2:$B$440,2020,'Set B daily'!$C$2:$C$440,10)</f>
        <v>9955</v>
      </c>
      <c r="L23" s="4" t="n">
        <f aca="false">SUMIFS('Set B daily'!$P$2:$P$440,'Set B daily'!$B$2:$B$440,2020,'Set B daily'!$C$2:$C$440,11)</f>
        <v>14937</v>
      </c>
      <c r="M23" s="4" t="n">
        <f aca="false">SUMIFS('Set B daily'!$P$2:$P$440,'Set B daily'!$B$2:$B$440,2020,'Set B daily'!$C$2:$C$440,12)</f>
        <v>12722</v>
      </c>
      <c r="N23" s="13" t="n">
        <f aca="false">SUM(B23:M23)</f>
        <v>145131</v>
      </c>
      <c r="O23" s="8" t="n">
        <f aca="false">COUNTIFS('Set B daily'!$B$2:$B$440,2020)</f>
        <v>53</v>
      </c>
      <c r="P23" s="8" t="n">
        <f aca="false">COUNTIFS('Set B daily'!$B$2:$B$440,2020,'Set B daily'!$P$2:$P$440,"&gt;0")</f>
        <v>36</v>
      </c>
    </row>
    <row r="24" customFormat="false" ht="15" hidden="false" customHeight="false" outlineLevel="0" collapsed="false">
      <c r="A24" s="3" t="s">
        <v>67</v>
      </c>
      <c r="B24" s="4" t="n">
        <f aca="false">SUMIFS('Set B daily'!$P$2:$P$440,'Set B daily'!$B$2:$B$440,2021,'Set B daily'!$C$2:$C$440,1)</f>
        <v>21494</v>
      </c>
      <c r="C24" s="4" t="n">
        <f aca="false">SUMIFS('Set B daily'!$P$2:$P$440,'Set B daily'!$B$2:$B$440,2021,'Set B daily'!$C$2:$C$440,2)</f>
        <v>25278</v>
      </c>
      <c r="D24" s="4" t="n">
        <f aca="false">SUMIFS('Set B daily'!$P$2:$P$440,'Set B daily'!$B$2:$B$440,2021,'Set B daily'!$C$2:$C$440,3)</f>
        <v>12900</v>
      </c>
      <c r="E24" s="4" t="n">
        <f aca="false">SUMIFS('Set B daily'!$P$2:$P$440,'Set B daily'!$B$2:$B$440,2021,'Set B daily'!$C$2:$C$440,4)</f>
        <v>4303</v>
      </c>
      <c r="F24" s="4" t="n">
        <f aca="false">SUMIFS('Set B daily'!$P$2:$P$440,'Set B daily'!$B$2:$B$440,2021,'Set B daily'!$C$2:$C$440,5)</f>
        <v>17587</v>
      </c>
      <c r="G24" s="4" t="n">
        <f aca="false">SUMIFS('Set B daily'!$P$2:$P$440,'Set B daily'!$B$2:$B$440,2021,'Set B daily'!$C$2:$C$440,6)</f>
        <v>1103</v>
      </c>
      <c r="H24" s="4" t="n">
        <f aca="false">SUMIFS('Set B daily'!$P$2:$P$440,'Set B daily'!$B$2:$B$440,2021,'Set B daily'!$C$2:$C$440,7)</f>
        <v>14007</v>
      </c>
      <c r="I24" s="4" t="n">
        <f aca="false">SUMIFS('Set B daily'!$P$2:$P$440,'Set B daily'!$B$2:$B$440,2021,'Set B daily'!$C$2:$C$440,8)</f>
        <v>23103</v>
      </c>
      <c r="J24" s="4" t="n">
        <f aca="false">SUMIFS('Set B daily'!$P$2:$P$440,'Set B daily'!$B$2:$B$440,2021,'Set B daily'!$C$2:$C$440,9)</f>
        <v>18131</v>
      </c>
      <c r="K24" s="4" t="n">
        <f aca="false">SUMIFS('Set B daily'!$P$2:$P$440,'Set B daily'!$B$2:$B$440,2021,'Set B daily'!$C$2:$C$440,10)</f>
        <v>26296</v>
      </c>
      <c r="L24" s="4" t="n">
        <f aca="false">SUMIFS('Set B daily'!$P$2:$P$440,'Set B daily'!$B$2:$B$440,2021,'Set B daily'!$C$2:$C$440,11)</f>
        <v>18738</v>
      </c>
      <c r="M24" s="4" t="n">
        <f aca="false">SUMIFS('Set B daily'!$P$2:$P$440,'Set B daily'!$B$2:$B$440,2021,'Set B daily'!$C$2:$C$440,12)</f>
        <v>11263</v>
      </c>
      <c r="N24" s="13" t="n">
        <f aca="false">SUM(B24:M24)</f>
        <v>194203</v>
      </c>
      <c r="O24" s="8" t="n">
        <f aca="false">COUNTIFS('Set B daily'!$B$2:$B$440,2021)</f>
        <v>52</v>
      </c>
      <c r="P24" s="8" t="n">
        <f aca="false">COUNTIFS('Set B daily'!$B$2:$B$440,2021,'Set B daily'!$P$2:$P$440,"&gt;0")</f>
        <v>43</v>
      </c>
    </row>
    <row r="25" customFormat="false" ht="15" hidden="false" customHeight="false" outlineLevel="0" collapsed="false">
      <c r="A25" s="3" t="s">
        <v>68</v>
      </c>
      <c r="B25" s="4" t="n">
        <f aca="false">SUMIFS('Set B daily'!$P$2:$P$440,'Set B daily'!$B$2:$B$440,2022,'Set B daily'!$C$2:$C$440,1)</f>
        <v>-3893</v>
      </c>
      <c r="C25" s="4" t="n">
        <f aca="false">SUMIFS('Set B daily'!$P$2:$P$440,'Set B daily'!$B$2:$B$440,2022,'Set B daily'!$C$2:$C$440,2)</f>
        <v>-7941</v>
      </c>
      <c r="D25" s="4" t="n">
        <f aca="false">SUMIFS('Set B daily'!$P$2:$P$440,'Set B daily'!$B$2:$B$440,2022,'Set B daily'!$C$2:$C$440,3)</f>
        <v>34536</v>
      </c>
      <c r="E25" s="4" t="n">
        <f aca="false">SUMIFS('Set B daily'!$P$2:$P$440,'Set B daily'!$B$2:$B$440,2022,'Set B daily'!$C$2:$C$440,4)</f>
        <v>12959</v>
      </c>
      <c r="F25" s="4" t="n">
        <f aca="false">SUMIFS('Set B daily'!$P$2:$P$440,'Set B daily'!$B$2:$B$440,2022,'Set B daily'!$C$2:$C$440,5)</f>
        <v>-1834</v>
      </c>
      <c r="G25" s="4" t="n">
        <f aca="false">SUMIFS('Set B daily'!$P$2:$P$440,'Set B daily'!$B$2:$B$440,2022,'Set B daily'!$C$2:$C$440,6)</f>
        <v>11427</v>
      </c>
      <c r="H25" s="4" t="n">
        <f aca="false">SUMIFS('Set B daily'!$P$2:$P$440,'Set B daily'!$B$2:$B$440,2022,'Set B daily'!$C$2:$C$440,7)</f>
        <v>35619</v>
      </c>
      <c r="I25" s="4" t="n">
        <f aca="false">SUMIFS('Set B daily'!$P$2:$P$440,'Set B daily'!$B$2:$B$440,2022,'Set B daily'!$C$2:$C$440,8)</f>
        <v>23245</v>
      </c>
      <c r="J25" s="4" t="n">
        <f aca="false">SUMIFS('Set B daily'!$P$2:$P$440,'Set B daily'!$B$2:$B$440,2022,'Set B daily'!$C$2:$C$440,9)</f>
        <v>27712</v>
      </c>
      <c r="K25" s="4" t="n">
        <f aca="false">SUMIFS('Set B daily'!$P$2:$P$440,'Set B daily'!$B$2:$B$440,2022,'Set B daily'!$C$2:$C$440,10)</f>
        <v>22626</v>
      </c>
      <c r="L25" s="4" t="n">
        <f aca="false">SUMIFS('Set B daily'!$P$2:$P$440,'Set B daily'!$B$2:$B$440,2022,'Set B daily'!$C$2:$C$440,11)</f>
        <v>22512</v>
      </c>
      <c r="M25" s="4" t="n">
        <f aca="false">SUMIFS('Set B daily'!$P$2:$P$440,'Set B daily'!$B$2:$B$440,2022,'Set B daily'!$C$2:$C$440,12)</f>
        <v>11983</v>
      </c>
      <c r="N25" s="13" t="n">
        <f aca="false">SUM(B25:M25)</f>
        <v>188951</v>
      </c>
      <c r="O25" s="8" t="n">
        <f aca="false">COUNTIFS('Set B daily'!$B$2:$B$440,2022)</f>
        <v>52</v>
      </c>
      <c r="P25" s="8" t="n">
        <f aca="false">COUNTIFS('Set B daily'!$B$2:$B$440,2022,'Set B daily'!$P$2:$P$440,"&gt;0")</f>
        <v>42</v>
      </c>
    </row>
    <row r="26" customFormat="false" ht="15" hidden="false" customHeight="false" outlineLevel="0" collapsed="false">
      <c r="A26" s="3" t="s">
        <v>69</v>
      </c>
      <c r="B26" s="4" t="n">
        <f aca="false">SUMIFS('Set B daily'!$P$2:$P$440,'Set B daily'!$B$2:$B$440,2023,'Set B daily'!$C$2:$C$440,1)</f>
        <v>8282</v>
      </c>
      <c r="C26" s="4" t="n">
        <f aca="false">SUMIFS('Set B daily'!$P$2:$P$440,'Set B daily'!$B$2:$B$440,2023,'Set B daily'!$C$2:$C$440,2)</f>
        <v>14433</v>
      </c>
      <c r="D26" s="4" t="n">
        <f aca="false">SUMIFS('Set B daily'!$P$2:$P$440,'Set B daily'!$B$2:$B$440,2023,'Set B daily'!$C$2:$C$440,3)</f>
        <v>1336</v>
      </c>
      <c r="E26" s="4" t="n">
        <f aca="false">SUMIFS('Set B daily'!$P$2:$P$440,'Set B daily'!$B$2:$B$440,2023,'Set B daily'!$C$2:$C$440,4)</f>
        <v>8063</v>
      </c>
      <c r="F26" s="4" t="n">
        <f aca="false">SUMIFS('Set B daily'!$P$2:$P$440,'Set B daily'!$B$2:$B$440,2023,'Set B daily'!$C$2:$C$440,5)</f>
        <v>1068</v>
      </c>
      <c r="G26" s="4" t="n">
        <f aca="false">SUMIFS('Set B daily'!$P$2:$P$440,'Set B daily'!$B$2:$B$440,2023,'Set B daily'!$C$2:$C$440,6)</f>
        <v>8665</v>
      </c>
      <c r="H26" s="4" t="n">
        <f aca="false">SUMIFS('Set B daily'!$P$2:$P$440,'Set B daily'!$B$2:$B$440,2023,'Set B daily'!$C$2:$C$440,7)</f>
        <v>15242</v>
      </c>
      <c r="I26" s="4" t="n">
        <f aca="false">SUMIFS('Set B daily'!$P$2:$P$440,'Set B daily'!$B$2:$B$440,2023,'Set B daily'!$C$2:$C$440,8)</f>
        <v>11078</v>
      </c>
      <c r="J26" s="4" t="n">
        <f aca="false">SUMIFS('Set B daily'!$P$2:$P$440,'Set B daily'!$B$2:$B$440,2023,'Set B daily'!$C$2:$C$440,9)</f>
        <v>11502</v>
      </c>
      <c r="K26" s="4" t="n">
        <f aca="false">SUMIFS('Set B daily'!$P$2:$P$440,'Set B daily'!$B$2:$B$440,2023,'Set B daily'!$C$2:$C$440,10)</f>
        <v>10434</v>
      </c>
      <c r="L26" s="4" t="n">
        <f aca="false">SUMIFS('Set B daily'!$P$2:$P$440,'Set B daily'!$B$2:$B$440,2023,'Set B daily'!$C$2:$C$440,11)</f>
        <v>18137</v>
      </c>
      <c r="M26" s="4" t="n">
        <f aca="false">SUMIFS('Set B daily'!$P$2:$P$440,'Set B daily'!$B$2:$B$440,2023,'Set B daily'!$C$2:$C$440,12)</f>
        <v>16332</v>
      </c>
      <c r="N26" s="13" t="n">
        <f aca="false">SUM(B26:M26)</f>
        <v>124572</v>
      </c>
      <c r="O26" s="8" t="n">
        <f aca="false">COUNTIFS('Set B daily'!$B$2:$B$440,2023)</f>
        <v>52</v>
      </c>
      <c r="P26" s="8" t="n">
        <f aca="false">COUNTIFS('Set B daily'!$B$2:$B$440,2023,'Set B daily'!$P$2:$P$440,"&gt;0")</f>
        <v>39</v>
      </c>
    </row>
    <row r="27" customFormat="false" ht="15" hidden="false" customHeight="false" outlineLevel="0" collapsed="false">
      <c r="A27" s="3" t="s">
        <v>70</v>
      </c>
      <c r="B27" s="4" t="n">
        <f aca="false">SUMIFS('Set B daily'!$P$2:$P$440,'Set B daily'!$B$2:$B$440,2024,'Set B daily'!$C$2:$C$440,1)</f>
        <v>15107</v>
      </c>
      <c r="C27" s="4" t="n">
        <f aca="false">SUMIFS('Set B daily'!$P$2:$P$440,'Set B daily'!$B$2:$B$440,2024,'Set B daily'!$C$2:$C$440,2)</f>
        <v>30956</v>
      </c>
      <c r="D27" s="4" t="n">
        <f aca="false">SUMIFS('Set B daily'!$P$2:$P$440,'Set B daily'!$B$2:$B$440,2024,'Set B daily'!$C$2:$C$440,3)</f>
        <v>-3542</v>
      </c>
      <c r="E27" s="4" t="n">
        <f aca="false">SUMIFS('Set B daily'!$P$2:$P$440,'Set B daily'!$B$2:$B$440,2024,'Set B daily'!$C$2:$C$440,4)</f>
        <v>-23385</v>
      </c>
      <c r="F27" s="4" t="n">
        <f aca="false">SUMIFS('Set B daily'!$P$2:$P$440,'Set B daily'!$B$2:$B$440,2024,'Set B daily'!$C$2:$C$440,5)</f>
        <v>38881</v>
      </c>
      <c r="G27" s="4" t="n">
        <f aca="false">SUMIFS('Set B daily'!$P$2:$P$440,'Set B daily'!$B$2:$B$440,2024,'Set B daily'!$C$2:$C$440,6)</f>
        <v>38855</v>
      </c>
      <c r="H27" s="4" t="n">
        <f aca="false">SUMIFS('Set B daily'!$P$2:$P$440,'Set B daily'!$B$2:$B$440,2024,'Set B daily'!$C$2:$C$440,7)</f>
        <v>11216</v>
      </c>
      <c r="I27" s="4" t="n">
        <f aca="false">SUMIFS('Set B daily'!$P$2:$P$440,'Set B daily'!$B$2:$B$440,2024,'Set B daily'!$C$2:$C$440,8)</f>
        <v>33633</v>
      </c>
      <c r="J27" s="4" t="n">
        <f aca="false">SUMIFS('Set B daily'!$P$2:$P$440,'Set B daily'!$B$2:$B$440,2024,'Set B daily'!$C$2:$C$440,9)</f>
        <v>13100</v>
      </c>
      <c r="K27" s="4" t="n">
        <f aca="false">SUMIFS('Set B daily'!$P$2:$P$440,'Set B daily'!$B$2:$B$440,2024,'Set B daily'!$C$2:$C$440,10)</f>
        <v>48705</v>
      </c>
      <c r="L27" s="4" t="n">
        <f aca="false">SUMIFS('Set B daily'!$P$2:$P$440,'Set B daily'!$B$2:$B$440,2024,'Set B daily'!$C$2:$C$440,11)</f>
        <v>45696</v>
      </c>
      <c r="M27" s="4" t="n">
        <f aca="false">SUMIFS('Set B daily'!$P$2:$P$440,'Set B daily'!$B$2:$B$440,2024,'Set B daily'!$C$2:$C$440,12)</f>
        <v>12130</v>
      </c>
      <c r="N27" s="13" t="n">
        <f aca="false">SUM(B27:M27)</f>
        <v>261352</v>
      </c>
      <c r="O27" s="8" t="n">
        <f aca="false">COUNTIFS('Set B daily'!$B$2:$B$440,2024)</f>
        <v>52</v>
      </c>
      <c r="P27" s="8" t="n">
        <f aca="false">COUNTIFS('Set B daily'!$B$2:$B$440,2024,'Set B daily'!$P$2:$P$440,"&gt;0")</f>
        <v>39</v>
      </c>
    </row>
    <row r="28" customFormat="false" ht="15" hidden="false" customHeight="false" outlineLevel="0" collapsed="false">
      <c r="A28" s="3" t="s">
        <v>71</v>
      </c>
      <c r="B28" s="4" t="n">
        <f aca="false">SUMIFS('Set B daily'!$P$2:$P$440,'Set B daily'!$B$2:$B$440,2025,'Set B daily'!$C$2:$C$440,1)</f>
        <v>31881</v>
      </c>
      <c r="C28" s="4" t="n">
        <f aca="false">SUMIFS('Set B daily'!$P$2:$P$440,'Set B daily'!$B$2:$B$440,2025,'Set B daily'!$C$2:$C$440,2)</f>
        <v>29017</v>
      </c>
      <c r="D28" s="4" t="n">
        <f aca="false">SUMIFS('Set B daily'!$P$2:$P$440,'Set B daily'!$B$2:$B$440,2025,'Set B daily'!$C$2:$C$440,3)</f>
        <v>13994</v>
      </c>
      <c r="E28" s="4" t="n">
        <f aca="false">SUMIFS('Set B daily'!$P$2:$P$440,'Set B daily'!$B$2:$B$440,2025,'Set B daily'!$C$2:$C$440,4)</f>
        <v>41070</v>
      </c>
      <c r="F28" s="4" t="n">
        <f aca="false">SUMIFS('Set B daily'!$P$2:$P$440,'Set B daily'!$B$2:$B$440,2025,'Set B daily'!$C$2:$C$440,5)</f>
        <v>35728</v>
      </c>
      <c r="G28" s="4" t="n">
        <f aca="false">SUMIFS('Set B daily'!$P$2:$P$440,'Set B daily'!$B$2:$B$440,2025,'Set B daily'!$C$2:$C$440,6)</f>
        <v>7072</v>
      </c>
      <c r="H28" s="4" t="n">
        <f aca="false">SUMIFS('Set B daily'!$P$2:$P$440,'Set B daily'!$B$2:$B$440,2025,'Set B daily'!$C$2:$C$440,7)</f>
        <v>17807</v>
      </c>
      <c r="I28" s="4" t="n">
        <f aca="false">SUMIFS('Set B daily'!$P$2:$P$440,'Set B daily'!$B$2:$B$440,2025,'Set B daily'!$C$2:$C$440,8)</f>
        <v>-5012</v>
      </c>
      <c r="J28" s="4" t="n">
        <f aca="false">SUMIFS('Set B daily'!$P$2:$P$440,'Set B daily'!$B$2:$B$440,2025,'Set B daily'!$C$2:$C$440,9)</f>
        <v>-3487</v>
      </c>
      <c r="K28" s="4" t="n">
        <f aca="false">SUMIFS('Set B daily'!$P$2:$P$440,'Set B daily'!$B$2:$B$440,2025,'Set B daily'!$C$2:$C$440,10)</f>
        <v>-920</v>
      </c>
      <c r="L28" s="4" t="n">
        <f aca="false">SUMIFS('Set B daily'!$P$2:$P$440,'Set B daily'!$B$2:$B$440,2025,'Set B daily'!$C$2:$C$440,11)</f>
        <v>8959</v>
      </c>
      <c r="M28" s="4" t="n">
        <f aca="false">SUMIFS('Set B daily'!$P$2:$P$440,'Set B daily'!$B$2:$B$440,2025,'Set B daily'!$C$2:$C$440,12)</f>
        <v>27136</v>
      </c>
      <c r="N28" s="13" t="n">
        <f aca="false">SUM(B28:M28)</f>
        <v>203245</v>
      </c>
      <c r="O28" s="8" t="n">
        <f aca="false">COUNTIFS('Set B daily'!$B$2:$B$440,2025)</f>
        <v>53</v>
      </c>
      <c r="P28" s="8" t="n">
        <f aca="false">COUNTIFS('Set B daily'!$B$2:$B$440,2025,'Set B daily'!$P$2:$P$440,"&gt;0")</f>
        <v>37</v>
      </c>
    </row>
    <row r="29" customFormat="false" ht="15" hidden="false" customHeight="false" outlineLevel="0" collapsed="false">
      <c r="A29" s="3" t="s">
        <v>72</v>
      </c>
      <c r="B29" s="4" t="n">
        <f aca="false">SUMIFS('Set B daily'!$P$2:$P$440,'Set B daily'!$B$2:$B$440,2026,'Set B daily'!$C$2:$C$440,1)</f>
        <v>2777</v>
      </c>
      <c r="C29" s="4" t="n">
        <f aca="false">SUMIFS('Set B daily'!$P$2:$P$440,'Set B daily'!$B$2:$B$440,2026,'Set B daily'!$C$2:$C$440,2)</f>
        <v>68111</v>
      </c>
      <c r="D29" s="4" t="n">
        <f aca="false">SUMIFS('Set B daily'!$P$2:$P$440,'Set B daily'!$B$2:$B$440,2026,'Set B daily'!$C$2:$C$440,3)</f>
        <v>55640</v>
      </c>
      <c r="E29" s="4" t="n">
        <f aca="false">SUMIFS('Set B daily'!$P$2:$P$440,'Set B daily'!$B$2:$B$440,2026,'Set B daily'!$C$2:$C$440,4)</f>
        <v>36988</v>
      </c>
      <c r="F29" s="4" t="n">
        <f aca="false">SUMIFS('Set B daily'!$P$2:$P$440,'Set B daily'!$B$2:$B$440,2026,'Set B daily'!$C$2:$C$440,5)</f>
        <v>24231</v>
      </c>
      <c r="G29" s="4" t="n">
        <f aca="false">SUMIFS('Set B daily'!$P$2:$P$440,'Set B daily'!$B$2:$B$440,2026,'Set B daily'!$C$2:$C$440,6)</f>
        <v>-3682</v>
      </c>
      <c r="H29" s="4" t="n">
        <f aca="false">SUMIFS('Set B daily'!$P$2:$P$440,'Set B daily'!$B$2:$B$440,2026,'Set B daily'!$C$2:$C$440,7)</f>
        <v>13687</v>
      </c>
      <c r="I29" s="4" t="n">
        <f aca="false">SUMIFS('Set B daily'!$P$2:$P$440,'Set B daily'!$B$2:$B$440,2026,'Set B daily'!$C$2:$C$440,8)</f>
        <v>24268</v>
      </c>
      <c r="J29" s="4" t="n">
        <f aca="false">SUMIFS('Set B daily'!$P$2:$P$440,'Set B daily'!$B$2:$B$440,2026,'Set B daily'!$C$2:$C$440,9)</f>
        <v>14601</v>
      </c>
      <c r="K29" s="4" t="n">
        <f aca="false">SUMIFS('Set B daily'!$P$2:$P$440,'Set B daily'!$B$2:$B$440,2026,'Set B daily'!$C$2:$C$440,10)</f>
        <v>9117</v>
      </c>
      <c r="L29" s="4" t="n">
        <f aca="false">SUMIFS('Set B daily'!$P$2:$P$440,'Set B daily'!$B$2:$B$440,2026,'Set B daily'!$C$2:$C$440,11)</f>
        <v>0</v>
      </c>
      <c r="M29" s="4" t="n">
        <f aca="false">SUMIFS('Set B daily'!$P$2:$P$440,'Set B daily'!$B$2:$B$440,2026,'Set B daily'!$C$2:$C$440,12)</f>
        <v>0</v>
      </c>
      <c r="N29" s="13" t="n">
        <f aca="false">SUM(B29:M29)</f>
        <v>245738</v>
      </c>
      <c r="O29" s="8" t="n">
        <f aca="false">COUNTIFS('Set B daily'!$B$2:$B$440,2026)</f>
        <v>42</v>
      </c>
      <c r="P29" s="8" t="n">
        <f aca="false">COUNTIFS('Set B daily'!$B$2:$B$440,2026,'Set B daily'!$P$2:$P$440,"&gt;0")</f>
        <v>30</v>
      </c>
    </row>
    <row r="30" customFormat="false" ht="15" hidden="false" customHeight="false" outlineLevel="0" collapsed="false">
      <c r="A30" s="3" t="s">
        <v>73</v>
      </c>
      <c r="B30" s="13" t="n">
        <f aca="false">SUM(B19:B29)</f>
        <v>82513</v>
      </c>
      <c r="C30" s="13" t="n">
        <f aca="false">SUM(C19:C29)</f>
        <v>170069</v>
      </c>
      <c r="D30" s="13" t="n">
        <f aca="false">SUM(D19:D29)</f>
        <v>153871</v>
      </c>
      <c r="E30" s="13" t="n">
        <f aca="false">SUM(E19:E29)</f>
        <v>92588</v>
      </c>
      <c r="F30" s="13" t="n">
        <f aca="false">SUM(F19:F29)</f>
        <v>169866</v>
      </c>
      <c r="G30" s="13" t="n">
        <f aca="false">SUM(G19:G29)</f>
        <v>56930</v>
      </c>
      <c r="H30" s="13" t="n">
        <f aca="false">SUM(H19:H29)</f>
        <v>116111</v>
      </c>
      <c r="I30" s="13" t="n">
        <f aca="false">SUM(I19:I29)</f>
        <v>136799</v>
      </c>
      <c r="J30" s="13" t="n">
        <f aca="false">SUM(J19:J29)</f>
        <v>110947</v>
      </c>
      <c r="K30" s="13" t="n">
        <f aca="false">SUM(K19:K29)</f>
        <v>131954</v>
      </c>
      <c r="L30" s="13" t="n">
        <f aca="false">SUM(L19:L29)</f>
        <v>137043</v>
      </c>
      <c r="M30" s="13" t="n">
        <f aca="false">SUM(M19:M29)</f>
        <v>95843</v>
      </c>
      <c r="N30" s="13" t="n">
        <f aca="false">SUM(N19:N29)</f>
        <v>1454534</v>
      </c>
      <c r="O30" s="3" t="n">
        <f aca="false">SUM(O19:O29)</f>
        <v>439</v>
      </c>
      <c r="P30" s="3" t="n">
        <f aca="false">SUM(P19:P29)</f>
        <v>321</v>
      </c>
    </row>
  </sheetData>
  <conditionalFormatting sqref="B3:N13">
    <cfRule type="cellIs" priority="2" operator="lessThan" aboveAverage="0" equalAverage="0" bottom="0" percent="0" rank="0" text="" dxfId="6">
      <formula>0</formula>
    </cfRule>
    <cfRule type="cellIs" priority="3" operator="greaterThan" aboveAverage="0" equalAverage="0" bottom="0" percent="0" rank="0" text="" dxfId="7">
      <formula>0</formula>
    </cfRule>
  </conditionalFormatting>
  <conditionalFormatting sqref="B19:N29">
    <cfRule type="cellIs" priority="4" operator="lessThan" aboveAverage="0" equalAverage="0" bottom="0" percent="0" rank="0" text="" dxfId="6">
      <formula>0</formula>
    </cfRule>
    <cfRule type="cellIs" priority="5" operator="greater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1" customFormat="false" ht="31.5" hidden="false" customHeight="true" outlineLevel="0" collapsed="false">
      <c r="A1" s="2" t="s">
        <v>19</v>
      </c>
      <c r="B1" s="2" t="s">
        <v>75</v>
      </c>
      <c r="C1" s="2" t="s">
        <v>76</v>
      </c>
      <c r="D1" s="2" t="s">
        <v>77</v>
      </c>
      <c r="E1" s="2" t="s">
        <v>78</v>
      </c>
      <c r="F1" s="2" t="s">
        <v>79</v>
      </c>
      <c r="G1" s="2" t="s">
        <v>80</v>
      </c>
      <c r="H1" s="2" t="s">
        <v>81</v>
      </c>
      <c r="I1" s="2" t="s">
        <v>82</v>
      </c>
    </row>
    <row r="2" customFormat="false" ht="15" hidden="false" customHeight="false" outlineLevel="0" collapsed="false">
      <c r="A2" s="3" t="s">
        <v>62</v>
      </c>
      <c r="B2" s="4" t="n">
        <f aca="false">SUMIFS('Set A daily'!$P$2:$P$440,'Set A daily'!$B$2:$B$440,2016)</f>
        <v>4314</v>
      </c>
      <c r="C2" s="8" t="n">
        <f aca="false">COUNTIFS('Set A daily'!$B$2:$B$440,2016)</f>
        <v>12</v>
      </c>
      <c r="D2" s="5" t="n">
        <f aca="false">IFERROR(COUNTIFS('Set A daily'!$B$2:$B$440,2016,'Set A daily'!$P$2:$P$440,"&gt;0")/C2,0)</f>
        <v>0.333333333333333</v>
      </c>
      <c r="E2" s="4" t="n">
        <f aca="false">_xlfn.MINIFS('Set A daily'!$P$2:$P$440,'Set A daily'!$B$2:$B$440,2016)</f>
        <v>-2475</v>
      </c>
      <c r="F2" s="4" t="n">
        <f aca="false">SUMIFS('Set B daily'!$P$2:$P$440,'Set B daily'!$B$2:$B$440,2016)</f>
        <v>8218</v>
      </c>
      <c r="G2" s="8" t="n">
        <f aca="false">COUNTIFS('Set B daily'!$B$2:$B$440,2016)</f>
        <v>12</v>
      </c>
      <c r="H2" s="5" t="n">
        <f aca="false">IFERROR(COUNTIFS('Set B daily'!$B$2:$B$440,2016,'Set B daily'!$P$2:$P$440,"&gt;0")/G2,0)</f>
        <v>0.666666666666667</v>
      </c>
      <c r="I2" s="4" t="n">
        <f aca="false">_xlfn.MINIFS('Set B daily'!$P$2:$P$440,'Set B daily'!$B$2:$B$440,2016)</f>
        <v>-2488</v>
      </c>
    </row>
    <row r="3" customFormat="false" ht="15" hidden="false" customHeight="false" outlineLevel="0" collapsed="false">
      <c r="A3" s="3" t="s">
        <v>63</v>
      </c>
      <c r="B3" s="4" t="n">
        <f aca="false">SUMIFS('Set A daily'!$P$2:$P$440,'Set A daily'!$B$2:$B$440,2017)</f>
        <v>11490</v>
      </c>
      <c r="C3" s="8" t="n">
        <f aca="false">COUNTIFS('Set A daily'!$B$2:$B$440,2017)</f>
        <v>12</v>
      </c>
      <c r="D3" s="5" t="n">
        <f aca="false">IFERROR(COUNTIFS('Set A daily'!$B$2:$B$440,2017,'Set A daily'!$P$2:$P$440,"&gt;0")/C3,0)</f>
        <v>0.666666666666667</v>
      </c>
      <c r="E3" s="4" t="n">
        <f aca="false">_xlfn.MINIFS('Set A daily'!$P$2:$P$440,'Set A daily'!$B$2:$B$440,2017)</f>
        <v>-4025</v>
      </c>
      <c r="F3" s="4" t="n">
        <f aca="false">SUMIFS('Set B daily'!$P$2:$P$440,'Set B daily'!$B$2:$B$440,2017)</f>
        <v>-2918</v>
      </c>
      <c r="G3" s="8" t="n">
        <f aca="false">COUNTIFS('Set B daily'!$B$2:$B$440,2017)</f>
        <v>12</v>
      </c>
      <c r="H3" s="5" t="n">
        <f aca="false">IFERROR(COUNTIFS('Set B daily'!$B$2:$B$440,2017,'Set B daily'!$P$2:$P$440,"&gt;0")/G3,0)</f>
        <v>0.333333333333333</v>
      </c>
      <c r="I3" s="4" t="n">
        <f aca="false">_xlfn.MINIFS('Set B daily'!$P$2:$P$440,'Set B daily'!$B$2:$B$440,2017)</f>
        <v>-3819</v>
      </c>
    </row>
    <row r="4" customFormat="false" ht="15" hidden="false" customHeight="false" outlineLevel="0" collapsed="false">
      <c r="A4" s="3" t="s">
        <v>64</v>
      </c>
      <c r="B4" s="4" t="n">
        <f aca="false">SUMIFS('Set A daily'!$P$2:$P$440,'Set A daily'!$B$2:$B$440,2018)</f>
        <v>14995</v>
      </c>
      <c r="C4" s="8" t="n">
        <f aca="false">COUNTIFS('Set A daily'!$B$2:$B$440,2018)</f>
        <v>12</v>
      </c>
      <c r="D4" s="5" t="n">
        <f aca="false">IFERROR(COUNTIFS('Set A daily'!$B$2:$B$440,2018,'Set A daily'!$P$2:$P$440,"&gt;0")/C4,0)</f>
        <v>0.583333333333333</v>
      </c>
      <c r="E4" s="4" t="n">
        <f aca="false">_xlfn.MINIFS('Set A daily'!$P$2:$P$440,'Set A daily'!$B$2:$B$440,2018)</f>
        <v>-3288</v>
      </c>
      <c r="F4" s="4" t="n">
        <f aca="false">SUMIFS('Set B daily'!$P$2:$P$440,'Set B daily'!$B$2:$B$440,2018)</f>
        <v>10196</v>
      </c>
      <c r="G4" s="8" t="n">
        <f aca="false">COUNTIFS('Set B daily'!$B$2:$B$440,2018)</f>
        <v>12</v>
      </c>
      <c r="H4" s="5" t="n">
        <f aca="false">IFERROR(COUNTIFS('Set B daily'!$B$2:$B$440,2018,'Set B daily'!$P$2:$P$440,"&gt;0")/G4,0)</f>
        <v>0.75</v>
      </c>
      <c r="I4" s="4" t="n">
        <f aca="false">_xlfn.MINIFS('Set B daily'!$P$2:$P$440,'Set B daily'!$B$2:$B$440,2018)</f>
        <v>-3197</v>
      </c>
    </row>
    <row r="5" customFormat="false" ht="15" hidden="false" customHeight="false" outlineLevel="0" collapsed="false">
      <c r="A5" s="3" t="s">
        <v>65</v>
      </c>
      <c r="B5" s="4" t="n">
        <f aca="false">SUMIFS('Set A daily'!$P$2:$P$440,'Set A daily'!$B$2:$B$440,2019)</f>
        <v>73907</v>
      </c>
      <c r="C5" s="8" t="n">
        <f aca="false">COUNTIFS('Set A daily'!$B$2:$B$440,2019)</f>
        <v>47</v>
      </c>
      <c r="D5" s="5" t="n">
        <f aca="false">IFERROR(COUNTIFS('Set A daily'!$B$2:$B$440,2019,'Set A daily'!$P$2:$P$440,"&gt;0")/C5,0)</f>
        <v>0.702127659574468</v>
      </c>
      <c r="E5" s="4" t="n">
        <f aca="false">_xlfn.MINIFS('Set A daily'!$P$2:$P$440,'Set A daily'!$B$2:$B$440,2019)</f>
        <v>-4768</v>
      </c>
      <c r="F5" s="4" t="n">
        <f aca="false">SUMIFS('Set B daily'!$P$2:$P$440,'Set B daily'!$B$2:$B$440,2019)</f>
        <v>75846</v>
      </c>
      <c r="G5" s="8" t="n">
        <f aca="false">COUNTIFS('Set B daily'!$B$2:$B$440,2019)</f>
        <v>47</v>
      </c>
      <c r="H5" s="5" t="n">
        <f aca="false">IFERROR(COUNTIFS('Set B daily'!$B$2:$B$440,2019,'Set B daily'!$P$2:$P$440,"&gt;0")/G5,0)</f>
        <v>0.723404255319149</v>
      </c>
      <c r="I5" s="4" t="n">
        <f aca="false">_xlfn.MINIFS('Set B daily'!$P$2:$P$440,'Set B daily'!$B$2:$B$440,2019)</f>
        <v>-4655</v>
      </c>
    </row>
    <row r="6" customFormat="false" ht="15" hidden="false" customHeight="false" outlineLevel="0" collapsed="false">
      <c r="A6" s="3" t="s">
        <v>66</v>
      </c>
      <c r="B6" s="4" t="n">
        <f aca="false">SUMIFS('Set A daily'!$P$2:$P$440,'Set A daily'!$B$2:$B$440,2020)</f>
        <v>141739</v>
      </c>
      <c r="C6" s="8" t="n">
        <f aca="false">COUNTIFS('Set A daily'!$B$2:$B$440,2020)</f>
        <v>53</v>
      </c>
      <c r="D6" s="5" t="n">
        <f aca="false">IFERROR(COUNTIFS('Set A daily'!$B$2:$B$440,2020,'Set A daily'!$P$2:$P$440,"&gt;0")/C6,0)</f>
        <v>0.69811320754717</v>
      </c>
      <c r="E6" s="4" t="n">
        <f aca="false">_xlfn.MINIFS('Set A daily'!$P$2:$P$440,'Set A daily'!$B$2:$B$440,2020)</f>
        <v>-4740</v>
      </c>
      <c r="F6" s="4" t="n">
        <f aca="false">SUMIFS('Set B daily'!$P$2:$P$440,'Set B daily'!$B$2:$B$440,2020)</f>
        <v>145131</v>
      </c>
      <c r="G6" s="8" t="n">
        <f aca="false">COUNTIFS('Set B daily'!$B$2:$B$440,2020)</f>
        <v>53</v>
      </c>
      <c r="H6" s="5" t="n">
        <f aca="false">IFERROR(COUNTIFS('Set B daily'!$B$2:$B$440,2020,'Set B daily'!$P$2:$P$440,"&gt;0")/G6,0)</f>
        <v>0.679245283018868</v>
      </c>
      <c r="I6" s="4" t="n">
        <f aca="false">_xlfn.MINIFS('Set B daily'!$P$2:$P$440,'Set B daily'!$B$2:$B$440,2020)</f>
        <v>-11766</v>
      </c>
    </row>
    <row r="7" customFormat="false" ht="15" hidden="false" customHeight="false" outlineLevel="0" collapsed="false">
      <c r="A7" s="3" t="s">
        <v>67</v>
      </c>
      <c r="B7" s="4" t="n">
        <f aca="false">SUMIFS('Set A daily'!$P$2:$P$440,'Set A daily'!$B$2:$B$440,2021)</f>
        <v>167333</v>
      </c>
      <c r="C7" s="8" t="n">
        <f aca="false">COUNTIFS('Set A daily'!$B$2:$B$440,2021)</f>
        <v>52</v>
      </c>
      <c r="D7" s="5" t="n">
        <f aca="false">IFERROR(COUNTIFS('Set A daily'!$B$2:$B$440,2021,'Set A daily'!$P$2:$P$440,"&gt;0")/C7,0)</f>
        <v>0.788461538461538</v>
      </c>
      <c r="E7" s="4" t="n">
        <f aca="false">_xlfn.MINIFS('Set A daily'!$P$2:$P$440,'Set A daily'!$B$2:$B$440,2021)</f>
        <v>-7127</v>
      </c>
      <c r="F7" s="4" t="n">
        <f aca="false">SUMIFS('Set B daily'!$P$2:$P$440,'Set B daily'!$B$2:$B$440,2021)</f>
        <v>194203</v>
      </c>
      <c r="G7" s="8" t="n">
        <f aca="false">COUNTIFS('Set B daily'!$B$2:$B$440,2021)</f>
        <v>52</v>
      </c>
      <c r="H7" s="5" t="n">
        <f aca="false">IFERROR(COUNTIFS('Set B daily'!$B$2:$B$440,2021,'Set B daily'!$P$2:$P$440,"&gt;0")/G7,0)</f>
        <v>0.826923076923077</v>
      </c>
      <c r="I7" s="4" t="n">
        <f aca="false">_xlfn.MINIFS('Set B daily'!$P$2:$P$440,'Set B daily'!$B$2:$B$440,2021)</f>
        <v>-7220</v>
      </c>
    </row>
    <row r="8" customFormat="false" ht="15" hidden="false" customHeight="false" outlineLevel="0" collapsed="false">
      <c r="A8" s="3" t="s">
        <v>68</v>
      </c>
      <c r="B8" s="4" t="n">
        <f aca="false">SUMIFS('Set A daily'!$P$2:$P$440,'Set A daily'!$B$2:$B$440,2022)</f>
        <v>196059</v>
      </c>
      <c r="C8" s="8" t="n">
        <f aca="false">COUNTIFS('Set A daily'!$B$2:$B$440,2022)</f>
        <v>52</v>
      </c>
      <c r="D8" s="5" t="n">
        <f aca="false">IFERROR(COUNTIFS('Set A daily'!$B$2:$B$440,2022,'Set A daily'!$P$2:$P$440,"&gt;0")/C8,0)</f>
        <v>0.788461538461538</v>
      </c>
      <c r="E8" s="4" t="n">
        <f aca="false">_xlfn.MINIFS('Set A daily'!$P$2:$P$440,'Set A daily'!$B$2:$B$440,2022)</f>
        <v>-10173</v>
      </c>
      <c r="F8" s="4" t="n">
        <f aca="false">SUMIFS('Set B daily'!$P$2:$P$440,'Set B daily'!$B$2:$B$440,2022)</f>
        <v>188951</v>
      </c>
      <c r="G8" s="8" t="n">
        <f aca="false">COUNTIFS('Set B daily'!$B$2:$B$440,2022)</f>
        <v>52</v>
      </c>
      <c r="H8" s="5" t="n">
        <f aca="false">IFERROR(COUNTIFS('Set B daily'!$B$2:$B$440,2022,'Set B daily'!$P$2:$P$440,"&gt;0")/G8,0)</f>
        <v>0.807692307692308</v>
      </c>
      <c r="I8" s="4" t="n">
        <f aca="false">_xlfn.MINIFS('Set B daily'!$P$2:$P$440,'Set B daily'!$B$2:$B$440,2022)</f>
        <v>-13066</v>
      </c>
    </row>
    <row r="9" customFormat="false" ht="15" hidden="false" customHeight="false" outlineLevel="0" collapsed="false">
      <c r="A9" s="3" t="s">
        <v>69</v>
      </c>
      <c r="B9" s="4" t="n">
        <f aca="false">SUMIFS('Set A daily'!$P$2:$P$440,'Set A daily'!$B$2:$B$440,2023)</f>
        <v>61354</v>
      </c>
      <c r="C9" s="8" t="n">
        <f aca="false">COUNTIFS('Set A daily'!$B$2:$B$440,2023)</f>
        <v>52</v>
      </c>
      <c r="D9" s="5" t="n">
        <f aca="false">IFERROR(COUNTIFS('Set A daily'!$B$2:$B$440,2023,'Set A daily'!$P$2:$P$440,"&gt;0")/C9,0)</f>
        <v>0.653846153846154</v>
      </c>
      <c r="E9" s="4" t="n">
        <f aca="false">_xlfn.MINIFS('Set A daily'!$P$2:$P$440,'Set A daily'!$B$2:$B$440,2023)</f>
        <v>-6809</v>
      </c>
      <c r="F9" s="4" t="n">
        <f aca="false">SUMIFS('Set B daily'!$P$2:$P$440,'Set B daily'!$B$2:$B$440,2023)</f>
        <v>124572</v>
      </c>
      <c r="G9" s="8" t="n">
        <f aca="false">COUNTIFS('Set B daily'!$B$2:$B$440,2023)</f>
        <v>52</v>
      </c>
      <c r="H9" s="5" t="n">
        <f aca="false">IFERROR(COUNTIFS('Set B daily'!$B$2:$B$440,2023,'Set B daily'!$P$2:$P$440,"&gt;0")/G9,0)</f>
        <v>0.75</v>
      </c>
      <c r="I9" s="4" t="n">
        <f aca="false">_xlfn.MINIFS('Set B daily'!$P$2:$P$440,'Set B daily'!$B$2:$B$440,2023)</f>
        <v>-5705</v>
      </c>
    </row>
    <row r="10" customFormat="false" ht="15" hidden="false" customHeight="false" outlineLevel="0" collapsed="false">
      <c r="A10" s="3" t="s">
        <v>70</v>
      </c>
      <c r="B10" s="4" t="n">
        <f aca="false">SUMIFS('Set A daily'!$P$2:$P$440,'Set A daily'!$B$2:$B$440,2024)</f>
        <v>248925</v>
      </c>
      <c r="C10" s="8" t="n">
        <f aca="false">COUNTIFS('Set A daily'!$B$2:$B$440,2024)</f>
        <v>52</v>
      </c>
      <c r="D10" s="5" t="n">
        <f aca="false">IFERROR(COUNTIFS('Set A daily'!$B$2:$B$440,2024,'Set A daily'!$P$2:$P$440,"&gt;0")/C10,0)</f>
        <v>0.730769230769231</v>
      </c>
      <c r="E10" s="4" t="n">
        <f aca="false">_xlfn.MINIFS('Set A daily'!$P$2:$P$440,'Set A daily'!$B$2:$B$440,2024)</f>
        <v>-14841</v>
      </c>
      <c r="F10" s="4" t="n">
        <f aca="false">SUMIFS('Set B daily'!$P$2:$P$440,'Set B daily'!$B$2:$B$440,2024)</f>
        <v>261352</v>
      </c>
      <c r="G10" s="8" t="n">
        <f aca="false">COUNTIFS('Set B daily'!$B$2:$B$440,2024)</f>
        <v>52</v>
      </c>
      <c r="H10" s="5" t="n">
        <f aca="false">IFERROR(COUNTIFS('Set B daily'!$B$2:$B$440,2024,'Set B daily'!$P$2:$P$440,"&gt;0")/G10,0)</f>
        <v>0.75</v>
      </c>
      <c r="I10" s="4" t="n">
        <f aca="false">_xlfn.MINIFS('Set B daily'!$P$2:$P$440,'Set B daily'!$B$2:$B$440,2024)</f>
        <v>-14240</v>
      </c>
    </row>
    <row r="11" customFormat="false" ht="15" hidden="false" customHeight="false" outlineLevel="0" collapsed="false">
      <c r="A11" s="3" t="s">
        <v>71</v>
      </c>
      <c r="B11" s="4" t="n">
        <f aca="false">SUMIFS('Set A daily'!$P$2:$P$440,'Set A daily'!$B$2:$B$440,2025)</f>
        <v>200035</v>
      </c>
      <c r="C11" s="8" t="n">
        <f aca="false">COUNTIFS('Set A daily'!$B$2:$B$440,2025)</f>
        <v>53</v>
      </c>
      <c r="D11" s="5" t="n">
        <f aca="false">IFERROR(COUNTIFS('Set A daily'!$B$2:$B$440,2025,'Set A daily'!$P$2:$P$440,"&gt;0")/C11,0)</f>
        <v>0.679245283018868</v>
      </c>
      <c r="E11" s="4" t="n">
        <f aca="false">_xlfn.MINIFS('Set A daily'!$P$2:$P$440,'Set A daily'!$B$2:$B$440,2025)</f>
        <v>-8131</v>
      </c>
      <c r="F11" s="4" t="n">
        <f aca="false">SUMIFS('Set B daily'!$P$2:$P$440,'Set B daily'!$B$2:$B$440,2025)</f>
        <v>203245</v>
      </c>
      <c r="G11" s="8" t="n">
        <f aca="false">COUNTIFS('Set B daily'!$B$2:$B$440,2025)</f>
        <v>53</v>
      </c>
      <c r="H11" s="5" t="n">
        <f aca="false">IFERROR(COUNTIFS('Set B daily'!$B$2:$B$440,2025,'Set B daily'!$P$2:$P$440,"&gt;0")/G11,0)</f>
        <v>0.69811320754717</v>
      </c>
      <c r="I11" s="4" t="n">
        <f aca="false">_xlfn.MINIFS('Set B daily'!$P$2:$P$440,'Set B daily'!$B$2:$B$440,2025)</f>
        <v>-8550</v>
      </c>
    </row>
    <row r="12" customFormat="false" ht="15" hidden="false" customHeight="false" outlineLevel="0" collapsed="false">
      <c r="A12" s="3" t="s">
        <v>72</v>
      </c>
      <c r="B12" s="4" t="n">
        <f aca="false">SUMIFS('Set A daily'!$P$2:$P$440,'Set A daily'!$B$2:$B$440,2026)</f>
        <v>207785</v>
      </c>
      <c r="C12" s="8" t="n">
        <f aca="false">COUNTIFS('Set A daily'!$B$2:$B$440,2026)</f>
        <v>42</v>
      </c>
      <c r="D12" s="5" t="n">
        <f aca="false">IFERROR(COUNTIFS('Set A daily'!$B$2:$B$440,2026,'Set A daily'!$P$2:$P$440,"&gt;0")/C12,0)</f>
        <v>0.738095238095238</v>
      </c>
      <c r="E12" s="4" t="n">
        <f aca="false">_xlfn.MINIFS('Set A daily'!$P$2:$P$440,'Set A daily'!$B$2:$B$440,2026)</f>
        <v>-7319</v>
      </c>
      <c r="F12" s="4" t="n">
        <f aca="false">SUMIFS('Set B daily'!$P$2:$P$440,'Set B daily'!$B$2:$B$440,2026)</f>
        <v>245738</v>
      </c>
      <c r="G12" s="8" t="n">
        <f aca="false">COUNTIFS('Set B daily'!$B$2:$B$440,2026)</f>
        <v>42</v>
      </c>
      <c r="H12" s="5" t="n">
        <f aca="false">IFERROR(COUNTIFS('Set B daily'!$B$2:$B$440,2026,'Set B daily'!$P$2:$P$440,"&gt;0")/G12,0)</f>
        <v>0.714285714285714</v>
      </c>
      <c r="I12" s="4" t="n">
        <f aca="false">_xlfn.MINIFS('Set B daily'!$P$2:$P$440,'Set B daily'!$B$2:$B$440,2026)</f>
        <v>-11205</v>
      </c>
    </row>
    <row r="13" customFormat="false" ht="15" hidden="false" customHeight="false" outlineLevel="0" collapsed="false">
      <c r="A13" s="3" t="s">
        <v>73</v>
      </c>
      <c r="B13" s="13" t="n">
        <f aca="false">SUM(B2:B12)</f>
        <v>1327936</v>
      </c>
      <c r="C13" s="3" t="n">
        <f aca="false">SUM(C2:C12)</f>
        <v>439</v>
      </c>
      <c r="D13" s="14" t="n">
        <f aca="false">SUMPRODUCT(D2:D12,C2:C12)/C13</f>
        <v>0.706150341685649</v>
      </c>
      <c r="E13" s="15" t="n">
        <f aca="false">MIN(E2:E12)</f>
        <v>-14841</v>
      </c>
      <c r="F13" s="13" t="n">
        <f aca="false">SUM(F2:F12)</f>
        <v>1454534</v>
      </c>
      <c r="G13" s="3" t="n">
        <f aca="false">SUM(G2:G12)</f>
        <v>439</v>
      </c>
      <c r="H13" s="14" t="n">
        <f aca="false">SUMPRODUCT(H2:H12,G2:G12)/G13</f>
        <v>0.73120728929385</v>
      </c>
      <c r="I13" s="15" t="n">
        <f aca="false">MIN(I2:I12)</f>
        <v>-14240</v>
      </c>
    </row>
  </sheetData>
  <conditionalFormatting sqref="B2:B12">
    <cfRule type="cellIs" priority="2" operator="lessThan" aboveAverage="0" equalAverage="0" bottom="0" percent="0" rank="0" text="" dxfId="6">
      <formula>0</formula>
    </cfRule>
  </conditionalFormatting>
  <conditionalFormatting sqref="F2:F12">
    <cfRule type="cellIs" priority="3" operator="lessThan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2026-10-25T19:19:51Z</dcterms:created>
  <dc:creator>openpyxl</dc:creator>
  <dc:description/>
  <dc:language>en-US</dc:language>
  <cp:lastModifiedBy/>
  <dcterms:modified xsi:type="dcterms:W3CDTF">2026-10-25T19:19:52Z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
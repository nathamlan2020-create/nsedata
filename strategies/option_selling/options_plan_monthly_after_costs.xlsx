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ifty 3 lots monthly" sheetId="1" state="visible" r:id="rId3"/>
    <sheet name="Weekly plan monthly" sheetId="2" state="visible" r:id="rId4"/>
    <sheet name="Yearl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<sst xmlns="http://schemas.openxmlformats.org/spreadsheetml/2006/main" count="181" uniqueCount="128">
  <si>
    <t xml:space="preserve">Month</t>
  </si>
  <si>
    <t xml:space="preserve">Expiry days</t>
  </si>
  <si>
    <t xml:space="preserve">Gross ₹</t>
  </si>
  <si>
    <t xml:space="preserve">Costs ₹</t>
  </si>
  <si>
    <t xml:space="preserve">Gross total ₹</t>
  </si>
  <si>
    <t xml:space="preserve">Costs total ₹</t>
  </si>
  <si>
    <t xml:space="preserve">Net total ₹ (after costs)</t>
  </si>
  <si>
    <t xml:space="preserve">Cumulative net ₹</t>
  </si>
  <si>
    <t xml:space="preserve">Jan 2019</t>
  </si>
  <si>
    <t xml:space="preserve">Feb 2019</t>
  </si>
  <si>
    <t xml:space="preserve">Mar 2019</t>
  </si>
  <si>
    <t xml:space="preserve">Apr 2019</t>
  </si>
  <si>
    <t xml:space="preserve">May 2019</t>
  </si>
  <si>
    <t xml:space="preserve">Jun 2019</t>
  </si>
  <si>
    <t xml:space="preserve">Jul 2019</t>
  </si>
  <si>
    <t xml:space="preserve">Aug 2019</t>
  </si>
  <si>
    <t xml:space="preserve">Sep 2019</t>
  </si>
  <si>
    <t xml:space="preserve">Oct 2019</t>
  </si>
  <si>
    <t xml:space="preserve">Nov 2019</t>
  </si>
  <si>
    <t xml:space="preserve">Dec 2019</t>
  </si>
  <si>
    <t xml:space="preserve">Jan 2020</t>
  </si>
  <si>
    <t xml:space="preserve">Feb 2020</t>
  </si>
  <si>
    <t xml:space="preserve">Mar 2020</t>
  </si>
  <si>
    <t xml:space="preserve">Apr 2020</t>
  </si>
  <si>
    <t xml:space="preserve">May 2020</t>
  </si>
  <si>
    <t xml:space="preserve">Jun 2020</t>
  </si>
  <si>
    <t xml:space="preserve">Jul 2020</t>
  </si>
  <si>
    <t xml:space="preserve">Aug 2020</t>
  </si>
  <si>
    <t xml:space="preserve">Sep 2020</t>
  </si>
  <si>
    <t xml:space="preserve">Oct 2020</t>
  </si>
  <si>
    <t xml:space="preserve">Nov 2020</t>
  </si>
  <si>
    <t xml:space="preserve">Dec 2020</t>
  </si>
  <si>
    <t xml:space="preserve">Jan 2021</t>
  </si>
  <si>
    <t xml:space="preserve">Feb 2021</t>
  </si>
  <si>
    <t xml:space="preserve">Mar 2021</t>
  </si>
  <si>
    <t xml:space="preserve">Apr 2021</t>
  </si>
  <si>
    <t xml:space="preserve">May 2021</t>
  </si>
  <si>
    <t xml:space="preserve">Jun 2021</t>
  </si>
  <si>
    <t xml:space="preserve">Jul 2021</t>
  </si>
  <si>
    <t xml:space="preserve">Aug 2021</t>
  </si>
  <si>
    <t xml:space="preserve">Sep 2021</t>
  </si>
  <si>
    <t xml:space="preserve">Oct 2021</t>
  </si>
  <si>
    <t xml:space="preserve">Nov 2021</t>
  </si>
  <si>
    <t xml:space="preserve">Dec 2021</t>
  </si>
  <si>
    <t xml:space="preserve">Jan 2022</t>
  </si>
  <si>
    <t xml:space="preserve">Feb 2022</t>
  </si>
  <si>
    <t xml:space="preserve">Mar 2022</t>
  </si>
  <si>
    <t xml:space="preserve">Apr 2022</t>
  </si>
  <si>
    <t xml:space="preserve">May 2022</t>
  </si>
  <si>
    <t xml:space="preserve">Jun 2022</t>
  </si>
  <si>
    <t xml:space="preserve">Jul 2022</t>
  </si>
  <si>
    <t xml:space="preserve">Aug 2022</t>
  </si>
  <si>
    <t xml:space="preserve">Sep 2022</t>
  </si>
  <si>
    <t xml:space="preserve">Oct 2022</t>
  </si>
  <si>
    <t xml:space="preserve">Nov 2022</t>
  </si>
  <si>
    <t xml:space="preserve">Dec 2022</t>
  </si>
  <si>
    <t xml:space="preserve">Jan 2023</t>
  </si>
  <si>
    <t xml:space="preserve">Feb 2023</t>
  </si>
  <si>
    <t xml:space="preserve">Mar 2023</t>
  </si>
  <si>
    <t xml:space="preserve">Apr 2023</t>
  </si>
  <si>
    <t xml:space="preserve">May 2023</t>
  </si>
  <si>
    <t xml:space="preserve">Jun 2023</t>
  </si>
  <si>
    <t xml:space="preserve">Jul 2023</t>
  </si>
  <si>
    <t xml:space="preserve">Aug 2023</t>
  </si>
  <si>
    <t xml:space="preserve">Sep 2023</t>
  </si>
  <si>
    <t xml:space="preserve">Oct 2023</t>
  </si>
  <si>
    <t xml:space="preserve">Nov 2023</t>
  </si>
  <si>
    <t xml:space="preserve">Dec 2023</t>
  </si>
  <si>
    <t xml:space="preserve">Jan 2024</t>
  </si>
  <si>
    <t xml:space="preserve">Feb 2024</t>
  </si>
  <si>
    <t xml:space="preserve">Mar 2024</t>
  </si>
  <si>
    <t xml:space="preserve">Apr 2024</t>
  </si>
  <si>
    <t xml:space="preserve">May 2024</t>
  </si>
  <si>
    <t xml:space="preserve">Jun 2024</t>
  </si>
  <si>
    <t xml:space="preserve">Jul 2024</t>
  </si>
  <si>
    <t xml:space="preserve">Aug 2024</t>
  </si>
  <si>
    <t xml:space="preserve">Sep 2024</t>
  </si>
  <si>
    <t xml:space="preserve">Oct 2024</t>
  </si>
  <si>
    <t xml:space="preserve">Nov 2024</t>
  </si>
  <si>
    <t xml:space="preserve">Dec 2024</t>
  </si>
  <si>
    <t xml:space="preserve">Jan 2025</t>
  </si>
  <si>
    <t xml:space="preserve">Feb 2025</t>
  </si>
  <si>
    <t xml:space="preserve">Mar 2025</t>
  </si>
  <si>
    <t xml:space="preserve">Apr 2025</t>
  </si>
  <si>
    <t xml:space="preserve">May 2025</t>
  </si>
  <si>
    <t xml:space="preserve">Jun 2025</t>
  </si>
  <si>
    <t xml:space="preserve">Jul 2025</t>
  </si>
  <si>
    <t xml:space="preserve">Aug 2025</t>
  </si>
  <si>
    <t xml:space="preserve">Sep 2025</t>
  </si>
  <si>
    <t xml:space="preserve">Oct 2025</t>
  </si>
  <si>
    <t xml:space="preserve">Nov 2025</t>
  </si>
  <si>
    <t xml:space="preserve">Dec 2025</t>
  </si>
  <si>
    <t xml:space="preserve">Jan 2026</t>
  </si>
  <si>
    <t xml:space="preserve">Feb 2026</t>
  </si>
  <si>
    <t xml:space="preserve">Mar 2026</t>
  </si>
  <si>
    <t xml:space="preserve">Apr 2026</t>
  </si>
  <si>
    <t xml:space="preserve">May 2026</t>
  </si>
  <si>
    <t xml:space="preserve">Jun 2026</t>
  </si>
  <si>
    <t xml:space="preserve">Jul 2026</t>
  </si>
  <si>
    <t xml:space="preserve">Aug 2026</t>
  </si>
  <si>
    <t xml:space="preserve">Sep 2026</t>
  </si>
  <si>
    <t xml:space="preserve">Oct 2026</t>
  </si>
  <si>
    <t xml:space="preserve">Total</t>
  </si>
  <si>
    <t xml:space="preserve">Nifty Tuesday/weekly expiry: 3 lots at 9:22 / 9:35 / 10:05, 40% SL per leg, other leg SL to cost, one re-entry before 1 PM, exit 15:15. 'trades' = expiry days in the month.</t>
  </si>
  <si>
    <t xml:space="preserve">All P&amp;L is after costs where marked 'net'. Costs = STT 0.1% on sell premium + ~0.04% exchange/SEBI/GST/stamp per side + ₹40 brokerage per leg round trip + slippage (Nifty 0.5 pt, Sensex 1.5 pt per side; +1% on stop fills).</t>
  </si>
  <si>
    <t xml:space="preserve">Option prices are rebuilt minute by minute (Nifty: calibrated to the real 9:15 bhavcopy straddle; Sensex: India-VIX based, Nifty path stretched to Sensex's real daily range). Bank Nifty uses real NSE daily prices (9:15 open entry, close exit). Treat ₹ figures as estimates.</t>
  </si>
  <si>
    <t xml:space="preserve">Income tax not included: F&amp;O profit is business income taxed at your slab rate. Lots: Nifty 65, Sensex 20, Bank Nifty 30 (today's sizes) in every year.</t>
  </si>
  <si>
    <t xml:space="preserve">Nifty gross ₹</t>
  </si>
  <si>
    <t xml:space="preserve">Nifty costs ₹</t>
  </si>
  <si>
    <t xml:space="preserve">Sensex gross ₹</t>
  </si>
  <si>
    <t xml:space="preserve">Sensex costs ₹</t>
  </si>
  <si>
    <t xml:space="preserve">Bank Nifty gross ₹</t>
  </si>
  <si>
    <t xml:space="preserve">Bank Nifty costs ₹</t>
  </si>
  <si>
    <t xml:space="preserve">Weekly plan since Sensex weeklies began (May 2023): Nifty 3 lots (as above) + Sensex 1 lot at 10:05 with 30% SL per leg + Bank Nifty 1 lot on the monthly expiry (open entry, 30% SL per leg).</t>
  </si>
  <si>
    <t xml:space="preserve">Year</t>
  </si>
  <si>
    <t xml:space="preserve">Nifty net ₹</t>
  </si>
  <si>
    <t xml:space="preserve">Plan gross ₹</t>
  </si>
  <si>
    <t xml:space="preserve">Plan costs ₹</t>
  </si>
  <si>
    <t xml:space="preserve">Plan net ₹ (Nifty+Sensex+BankNifty)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</si>
  <si>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</si>
  <si>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</si>
  <si>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</si>
  <si>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</si>
  <si>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</si>
  <si>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</si>
  <si>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</si>
  <si>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</si>
  <si>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2019 = weekly Nifty expiries from Feb; 2023 plan = May-Dec; 2026 = to 23 Oct (Nifty) / 19 Oct (Sensex).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</si>
</sst>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;[RED]\-#,##0;\-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8D7DA"/>
        </patternFill>
      </fill>
    </dxf>
    <dxf>
      <fill>
        <patternFill>
          <bgColor rgb="FFD4ED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8" min="2" style="0" width="14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3" t="n">
        <v>1</v>
      </c>
      <c r="C2" s="3" t="n">
        <v>1986</v>
      </c>
      <c r="D2" s="3" t="n">
        <v>922</v>
      </c>
      <c r="E2" s="3" t="n">
        <f aca="false">C2</f>
        <v>1986</v>
      </c>
      <c r="F2" s="3" t="n">
        <f aca="false">D2</f>
        <v>922</v>
      </c>
      <c r="G2" s="4" t="n">
        <f aca="false">E2-F2</f>
        <v>1064</v>
      </c>
      <c r="H2" s="3" t="n">
        <f aca="false">G2</f>
        <v>1064</v>
      </c>
    </row>
    <row r="3" customFormat="false" ht="15" hidden="false" customHeight="false" outlineLevel="0" collapsed="false">
      <c r="A3" s="2" t="s">
        <v>9</v>
      </c>
      <c r="B3" s="3" t="n">
        <v>3</v>
      </c>
      <c r="C3" s="3" t="n">
        <v>11144</v>
      </c>
      <c r="D3" s="3" t="n">
        <v>2087</v>
      </c>
      <c r="E3" s="3" t="n">
        <f aca="false">C3</f>
        <v>11144</v>
      </c>
      <c r="F3" s="3" t="n">
        <f aca="false">D3</f>
        <v>2087</v>
      </c>
      <c r="G3" s="4" t="n">
        <f aca="false">E3-F3</f>
        <v>9057</v>
      </c>
      <c r="H3" s="3" t="n">
        <f aca="false">H2+G3</f>
        <v>10121</v>
      </c>
    </row>
    <row r="4" customFormat="false" ht="15" hidden="false" customHeight="false" outlineLevel="0" collapsed="false">
      <c r="A4" s="2" t="s">
        <v>10</v>
      </c>
      <c r="B4" s="3" t="n">
        <v>4</v>
      </c>
      <c r="C4" s="3" t="n">
        <v>5518</v>
      </c>
      <c r="D4" s="3" t="n">
        <v>3455</v>
      </c>
      <c r="E4" s="3" t="n">
        <f aca="false">C4</f>
        <v>5518</v>
      </c>
      <c r="F4" s="3" t="n">
        <f aca="false">D4</f>
        <v>3455</v>
      </c>
      <c r="G4" s="4" t="n">
        <f aca="false">E4-F4</f>
        <v>2063</v>
      </c>
      <c r="H4" s="3" t="n">
        <f aca="false">H3+G4</f>
        <v>12184</v>
      </c>
    </row>
    <row r="5" customFormat="false" ht="15" hidden="false" customHeight="false" outlineLevel="0" collapsed="false">
      <c r="A5" s="2" t="s">
        <v>11</v>
      </c>
      <c r="B5" s="3" t="n">
        <v>4</v>
      </c>
      <c r="C5" s="3" t="n">
        <v>4864</v>
      </c>
      <c r="D5" s="3" t="n">
        <v>3456</v>
      </c>
      <c r="E5" s="3" t="n">
        <f aca="false">C5</f>
        <v>4864</v>
      </c>
      <c r="F5" s="3" t="n">
        <f aca="false">D5</f>
        <v>3456</v>
      </c>
      <c r="G5" s="4" t="n">
        <f aca="false">E5-F5</f>
        <v>1408</v>
      </c>
      <c r="H5" s="3" t="n">
        <f aca="false">H4+G5</f>
        <v>13592</v>
      </c>
    </row>
    <row r="6" customFormat="false" ht="15" hidden="false" customHeight="false" outlineLevel="0" collapsed="false">
      <c r="A6" s="2" t="s">
        <v>12</v>
      </c>
      <c r="B6" s="3" t="n">
        <v>5</v>
      </c>
      <c r="C6" s="3" t="n">
        <v>24471</v>
      </c>
      <c r="D6" s="3" t="n">
        <v>4042</v>
      </c>
      <c r="E6" s="3" t="n">
        <f aca="false">C6</f>
        <v>24471</v>
      </c>
      <c r="F6" s="3" t="n">
        <f aca="false">D6</f>
        <v>4042</v>
      </c>
      <c r="G6" s="4" t="n">
        <f aca="false">E6-F6</f>
        <v>20429</v>
      </c>
      <c r="H6" s="3" t="n">
        <f aca="false">H5+G6</f>
        <v>34021</v>
      </c>
    </row>
    <row r="7" customFormat="false" ht="15" hidden="false" customHeight="false" outlineLevel="0" collapsed="false">
      <c r="A7" s="2" t="s">
        <v>13</v>
      </c>
      <c r="B7" s="3" t="n">
        <v>4</v>
      </c>
      <c r="C7" s="3" t="n">
        <v>3529</v>
      </c>
      <c r="D7" s="3" t="n">
        <v>2772</v>
      </c>
      <c r="E7" s="3" t="n">
        <f aca="false">C7</f>
        <v>3529</v>
      </c>
      <c r="F7" s="3" t="n">
        <f aca="false">D7</f>
        <v>2772</v>
      </c>
      <c r="G7" s="4" t="n">
        <f aca="false">E7-F7</f>
        <v>757</v>
      </c>
      <c r="H7" s="3" t="n">
        <f aca="false">H6+G7</f>
        <v>34778</v>
      </c>
    </row>
    <row r="8" customFormat="false" ht="15" hidden="false" customHeight="false" outlineLevel="0" collapsed="false">
      <c r="A8" s="2" t="s">
        <v>14</v>
      </c>
      <c r="B8" s="3" t="n">
        <v>4</v>
      </c>
      <c r="C8" s="3" t="n">
        <v>14258</v>
      </c>
      <c r="D8" s="3" t="n">
        <v>3685</v>
      </c>
      <c r="E8" s="3" t="n">
        <f aca="false">C8</f>
        <v>14258</v>
      </c>
      <c r="F8" s="3" t="n">
        <f aca="false">D8</f>
        <v>3685</v>
      </c>
      <c r="G8" s="4" t="n">
        <f aca="false">E8-F8</f>
        <v>10573</v>
      </c>
      <c r="H8" s="3" t="n">
        <f aca="false">H7+G8</f>
        <v>45351</v>
      </c>
    </row>
    <row r="9" customFormat="false" ht="15" hidden="false" customHeight="false" outlineLevel="0" collapsed="false">
      <c r="A9" s="2" t="s">
        <v>15</v>
      </c>
      <c r="B9" s="3" t="n">
        <v>5</v>
      </c>
      <c r="C9" s="3" t="n">
        <v>17726</v>
      </c>
      <c r="D9" s="3" t="n">
        <v>4195</v>
      </c>
      <c r="E9" s="3" t="n">
        <f aca="false">C9</f>
        <v>17726</v>
      </c>
      <c r="F9" s="3" t="n">
        <f aca="false">D9</f>
        <v>4195</v>
      </c>
      <c r="G9" s="4" t="n">
        <f aca="false">E9-F9</f>
        <v>13531</v>
      </c>
      <c r="H9" s="3" t="n">
        <f aca="false">H8+G9</f>
        <v>58882</v>
      </c>
    </row>
    <row r="10" customFormat="false" ht="15" hidden="false" customHeight="false" outlineLevel="0" collapsed="false">
      <c r="A10" s="2" t="s">
        <v>16</v>
      </c>
      <c r="B10" s="3" t="n">
        <v>4</v>
      </c>
      <c r="C10" s="3" t="n">
        <v>11311</v>
      </c>
      <c r="D10" s="3" t="n">
        <v>3959</v>
      </c>
      <c r="E10" s="3" t="n">
        <f aca="false">C10</f>
        <v>11311</v>
      </c>
      <c r="F10" s="3" t="n">
        <f aca="false">D10</f>
        <v>3959</v>
      </c>
      <c r="G10" s="4" t="n">
        <f aca="false">E10-F10</f>
        <v>7352</v>
      </c>
      <c r="H10" s="3" t="n">
        <f aca="false">H9+G10</f>
        <v>66234</v>
      </c>
    </row>
    <row r="11" customFormat="false" ht="15" hidden="false" customHeight="false" outlineLevel="0" collapsed="false">
      <c r="A11" s="2" t="s">
        <v>17</v>
      </c>
      <c r="B11" s="3" t="n">
        <v>5</v>
      </c>
      <c r="C11" s="3" t="n">
        <v>12262</v>
      </c>
      <c r="D11" s="3" t="n">
        <v>3952</v>
      </c>
      <c r="E11" s="3" t="n">
        <f aca="false">C11</f>
        <v>12262</v>
      </c>
      <c r="F11" s="3" t="n">
        <f aca="false">D11</f>
        <v>3952</v>
      </c>
      <c r="G11" s="4" t="n">
        <f aca="false">E11-F11</f>
        <v>8310</v>
      </c>
      <c r="H11" s="3" t="n">
        <f aca="false">H10+G11</f>
        <v>74544</v>
      </c>
    </row>
    <row r="12" customFormat="false" ht="15" hidden="false" customHeight="false" outlineLevel="0" collapsed="false">
      <c r="A12" s="2" t="s">
        <v>18</v>
      </c>
      <c r="B12" s="3" t="n">
        <v>4</v>
      </c>
      <c r="C12" s="3" t="n">
        <v>7797</v>
      </c>
      <c r="D12" s="3" t="n">
        <v>3245</v>
      </c>
      <c r="E12" s="3" t="n">
        <f aca="false">C12</f>
        <v>7797</v>
      </c>
      <c r="F12" s="3" t="n">
        <f aca="false">D12</f>
        <v>3245</v>
      </c>
      <c r="G12" s="4" t="n">
        <f aca="false">E12-F12</f>
        <v>4552</v>
      </c>
      <c r="H12" s="3" t="n">
        <f aca="false">H11+G12</f>
        <v>79096</v>
      </c>
    </row>
    <row r="13" customFormat="false" ht="15" hidden="false" customHeight="false" outlineLevel="0" collapsed="false">
      <c r="A13" s="2" t="s">
        <v>19</v>
      </c>
      <c r="B13" s="3" t="n">
        <v>4</v>
      </c>
      <c r="C13" s="3" t="n">
        <v>10226</v>
      </c>
      <c r="D13" s="3" t="n">
        <v>3456</v>
      </c>
      <c r="E13" s="3" t="n">
        <f aca="false">C13</f>
        <v>10226</v>
      </c>
      <c r="F13" s="3" t="n">
        <f aca="false">D13</f>
        <v>3456</v>
      </c>
      <c r="G13" s="4" t="n">
        <f aca="false">E13-F13</f>
        <v>6770</v>
      </c>
      <c r="H13" s="3" t="n">
        <f aca="false">H12+G13</f>
        <v>85866</v>
      </c>
    </row>
    <row r="14" customFormat="false" ht="15" hidden="false" customHeight="false" outlineLevel="0" collapsed="false">
      <c r="A14" s="2" t="s">
        <v>20</v>
      </c>
      <c r="B14" s="3" t="n">
        <v>5</v>
      </c>
      <c r="C14" s="3" t="n">
        <v>10250</v>
      </c>
      <c r="D14" s="3" t="n">
        <v>4367</v>
      </c>
      <c r="E14" s="3" t="n">
        <f aca="false">C14</f>
        <v>10250</v>
      </c>
      <c r="F14" s="3" t="n">
        <f aca="false">D14</f>
        <v>4367</v>
      </c>
      <c r="G14" s="4" t="n">
        <f aca="false">E14-F14</f>
        <v>5883</v>
      </c>
      <c r="H14" s="3" t="n">
        <f aca="false">H13+G14</f>
        <v>91749</v>
      </c>
    </row>
    <row r="15" customFormat="false" ht="15" hidden="false" customHeight="false" outlineLevel="0" collapsed="false">
      <c r="A15" s="2" t="s">
        <v>21</v>
      </c>
      <c r="B15" s="3" t="n">
        <v>4</v>
      </c>
      <c r="C15" s="3" t="n">
        <v>-5583</v>
      </c>
      <c r="D15" s="3" t="n">
        <v>3939</v>
      </c>
      <c r="E15" s="3" t="n">
        <f aca="false">C15</f>
        <v>-5583</v>
      </c>
      <c r="F15" s="3" t="n">
        <f aca="false">D15</f>
        <v>3939</v>
      </c>
      <c r="G15" s="4" t="n">
        <f aca="false">E15-F15</f>
        <v>-9522</v>
      </c>
      <c r="H15" s="3" t="n">
        <f aca="false">H14+G15</f>
        <v>82227</v>
      </c>
    </row>
    <row r="16" customFormat="false" ht="15" hidden="false" customHeight="false" outlineLevel="0" collapsed="false">
      <c r="A16" s="2" t="s">
        <v>22</v>
      </c>
      <c r="B16" s="3" t="n">
        <v>4</v>
      </c>
      <c r="C16" s="3" t="n">
        <v>18840</v>
      </c>
      <c r="D16" s="3" t="n">
        <v>3956</v>
      </c>
      <c r="E16" s="3" t="n">
        <f aca="false">C16</f>
        <v>18840</v>
      </c>
      <c r="F16" s="3" t="n">
        <f aca="false">D16</f>
        <v>3956</v>
      </c>
      <c r="G16" s="4" t="n">
        <f aca="false">E16-F16</f>
        <v>14884</v>
      </c>
      <c r="H16" s="3" t="n">
        <f aca="false">H15+G16</f>
        <v>97111</v>
      </c>
    </row>
    <row r="17" customFormat="false" ht="15" hidden="false" customHeight="false" outlineLevel="0" collapsed="false">
      <c r="A17" s="2" t="s">
        <v>23</v>
      </c>
      <c r="B17" s="3" t="n">
        <v>5</v>
      </c>
      <c r="C17" s="3" t="n">
        <v>35667</v>
      </c>
      <c r="D17" s="3" t="n">
        <v>4590</v>
      </c>
      <c r="E17" s="3" t="n">
        <f aca="false">C17</f>
        <v>35667</v>
      </c>
      <c r="F17" s="3" t="n">
        <f aca="false">D17</f>
        <v>4590</v>
      </c>
      <c r="G17" s="4" t="n">
        <f aca="false">E17-F17</f>
        <v>31077</v>
      </c>
      <c r="H17" s="3" t="n">
        <f aca="false">H16+G17</f>
        <v>128188</v>
      </c>
    </row>
    <row r="18" customFormat="false" ht="15" hidden="false" customHeight="false" outlineLevel="0" collapsed="false">
      <c r="A18" s="2" t="s">
        <v>24</v>
      </c>
      <c r="B18" s="3" t="n">
        <v>4</v>
      </c>
      <c r="C18" s="3" t="n">
        <v>45830</v>
      </c>
      <c r="D18" s="3" t="n">
        <v>2857</v>
      </c>
      <c r="E18" s="3" t="n">
        <f aca="false">C18</f>
        <v>45830</v>
      </c>
      <c r="F18" s="3" t="n">
        <f aca="false">D18</f>
        <v>2857</v>
      </c>
      <c r="G18" s="4" t="n">
        <f aca="false">E18-F18</f>
        <v>42973</v>
      </c>
      <c r="H18" s="3" t="n">
        <f aca="false">H17+G18</f>
        <v>171161</v>
      </c>
    </row>
    <row r="19" customFormat="false" ht="15" hidden="false" customHeight="false" outlineLevel="0" collapsed="false">
      <c r="A19" s="2" t="s">
        <v>25</v>
      </c>
      <c r="B19" s="3" t="n">
        <v>4</v>
      </c>
      <c r="C19" s="3" t="n">
        <v>8241</v>
      </c>
      <c r="D19" s="3" t="n">
        <v>3754</v>
      </c>
      <c r="E19" s="3" t="n">
        <f aca="false">C19</f>
        <v>8241</v>
      </c>
      <c r="F19" s="3" t="n">
        <f aca="false">D19</f>
        <v>3754</v>
      </c>
      <c r="G19" s="4" t="n">
        <f aca="false">E19-F19</f>
        <v>4487</v>
      </c>
      <c r="H19" s="3" t="n">
        <f aca="false">H18+G19</f>
        <v>175648</v>
      </c>
    </row>
    <row r="20" customFormat="false" ht="15" hidden="false" customHeight="false" outlineLevel="0" collapsed="false">
      <c r="A20" s="2" t="s">
        <v>26</v>
      </c>
      <c r="B20" s="3" t="n">
        <v>5</v>
      </c>
      <c r="C20" s="3" t="n">
        <v>9820</v>
      </c>
      <c r="D20" s="3" t="n">
        <v>4453</v>
      </c>
      <c r="E20" s="3" t="n">
        <f aca="false">C20</f>
        <v>9820</v>
      </c>
      <c r="F20" s="3" t="n">
        <f aca="false">D20</f>
        <v>4453</v>
      </c>
      <c r="G20" s="4" t="n">
        <f aca="false">E20-F20</f>
        <v>5367</v>
      </c>
      <c r="H20" s="3" t="n">
        <f aca="false">H19+G20</f>
        <v>181015</v>
      </c>
    </row>
    <row r="21" customFormat="false" ht="15" hidden="false" customHeight="false" outlineLevel="0" collapsed="false">
      <c r="A21" s="2" t="s">
        <v>27</v>
      </c>
      <c r="B21" s="3" t="n">
        <v>4</v>
      </c>
      <c r="C21" s="3" t="n">
        <v>14915</v>
      </c>
      <c r="D21" s="3" t="n">
        <v>3025</v>
      </c>
      <c r="E21" s="3" t="n">
        <f aca="false">C21</f>
        <v>14915</v>
      </c>
      <c r="F21" s="3" t="n">
        <f aca="false">D21</f>
        <v>3025</v>
      </c>
      <c r="G21" s="4" t="n">
        <f aca="false">E21-F21</f>
        <v>11890</v>
      </c>
      <c r="H21" s="3" t="n">
        <f aca="false">H20+G21</f>
        <v>192905</v>
      </c>
    </row>
    <row r="22" customFormat="false" ht="15" hidden="false" customHeight="false" outlineLevel="0" collapsed="false">
      <c r="A22" s="2" t="s">
        <v>28</v>
      </c>
      <c r="B22" s="3" t="n">
        <v>4</v>
      </c>
      <c r="C22" s="3" t="n">
        <v>16029</v>
      </c>
      <c r="D22" s="3" t="n">
        <v>3257</v>
      </c>
      <c r="E22" s="3" t="n">
        <f aca="false">C22</f>
        <v>16029</v>
      </c>
      <c r="F22" s="3" t="n">
        <f aca="false">D22</f>
        <v>3257</v>
      </c>
      <c r="G22" s="4" t="n">
        <f aca="false">E22-F22</f>
        <v>12772</v>
      </c>
      <c r="H22" s="3" t="n">
        <f aca="false">H21+G22</f>
        <v>205677</v>
      </c>
    </row>
    <row r="23" customFormat="false" ht="15" hidden="false" customHeight="false" outlineLevel="0" collapsed="false">
      <c r="A23" s="2" t="s">
        <v>29</v>
      </c>
      <c r="B23" s="3" t="n">
        <v>5</v>
      </c>
      <c r="C23" s="3" t="n">
        <v>19613</v>
      </c>
      <c r="D23" s="3" t="n">
        <v>3983</v>
      </c>
      <c r="E23" s="3" t="n">
        <f aca="false">C23</f>
        <v>19613</v>
      </c>
      <c r="F23" s="3" t="n">
        <f aca="false">D23</f>
        <v>3983</v>
      </c>
      <c r="G23" s="4" t="n">
        <f aca="false">E23-F23</f>
        <v>15630</v>
      </c>
      <c r="H23" s="3" t="n">
        <f aca="false">H22+G23</f>
        <v>221307</v>
      </c>
    </row>
    <row r="24" customFormat="false" ht="15" hidden="false" customHeight="false" outlineLevel="0" collapsed="false">
      <c r="A24" s="2" t="s">
        <v>30</v>
      </c>
      <c r="B24" s="3" t="n">
        <v>4</v>
      </c>
      <c r="C24" s="3" t="n">
        <v>2169</v>
      </c>
      <c r="D24" s="3" t="n">
        <v>3305</v>
      </c>
      <c r="E24" s="3" t="n">
        <f aca="false">C24</f>
        <v>2169</v>
      </c>
      <c r="F24" s="3" t="n">
        <f aca="false">D24</f>
        <v>3305</v>
      </c>
      <c r="G24" s="4" t="n">
        <f aca="false">E24-F24</f>
        <v>-1136</v>
      </c>
      <c r="H24" s="3" t="n">
        <f aca="false">H23+G24</f>
        <v>220171</v>
      </c>
    </row>
    <row r="25" customFormat="false" ht="15" hidden="false" customHeight="false" outlineLevel="0" collapsed="false">
      <c r="A25" s="2" t="s">
        <v>31</v>
      </c>
      <c r="B25" s="3" t="n">
        <v>5</v>
      </c>
      <c r="C25" s="3" t="n">
        <v>22544</v>
      </c>
      <c r="D25" s="3" t="n">
        <v>4201</v>
      </c>
      <c r="E25" s="3" t="n">
        <f aca="false">C25</f>
        <v>22544</v>
      </c>
      <c r="F25" s="3" t="n">
        <f aca="false">D25</f>
        <v>4201</v>
      </c>
      <c r="G25" s="4" t="n">
        <f aca="false">E25-F25</f>
        <v>18343</v>
      </c>
      <c r="H25" s="3" t="n">
        <f aca="false">H24+G25</f>
        <v>238514</v>
      </c>
    </row>
    <row r="26" customFormat="false" ht="15" hidden="false" customHeight="false" outlineLevel="0" collapsed="false">
      <c r="A26" s="2" t="s">
        <v>32</v>
      </c>
      <c r="B26" s="3" t="n">
        <v>4</v>
      </c>
      <c r="C26" s="3" t="n">
        <v>15092</v>
      </c>
      <c r="D26" s="3" t="n">
        <v>3522</v>
      </c>
      <c r="E26" s="3" t="n">
        <f aca="false">C26</f>
        <v>15092</v>
      </c>
      <c r="F26" s="3" t="n">
        <f aca="false">D26</f>
        <v>3522</v>
      </c>
      <c r="G26" s="4" t="n">
        <f aca="false">E26-F26</f>
        <v>11570</v>
      </c>
      <c r="H26" s="3" t="n">
        <f aca="false">H25+G26</f>
        <v>250084</v>
      </c>
    </row>
    <row r="27" customFormat="false" ht="15" hidden="false" customHeight="false" outlineLevel="0" collapsed="false">
      <c r="A27" s="2" t="s">
        <v>33</v>
      </c>
      <c r="B27" s="3" t="n">
        <v>4</v>
      </c>
      <c r="C27" s="3" t="n">
        <v>21334</v>
      </c>
      <c r="D27" s="3" t="n">
        <v>3309</v>
      </c>
      <c r="E27" s="3" t="n">
        <f aca="false">C27</f>
        <v>21334</v>
      </c>
      <c r="F27" s="3" t="n">
        <f aca="false">D27</f>
        <v>3309</v>
      </c>
      <c r="G27" s="4" t="n">
        <f aca="false">E27-F27</f>
        <v>18025</v>
      </c>
      <c r="H27" s="3" t="n">
        <f aca="false">H26+G27</f>
        <v>268109</v>
      </c>
    </row>
    <row r="28" customFormat="false" ht="15" hidden="false" customHeight="false" outlineLevel="0" collapsed="false">
      <c r="A28" s="2" t="s">
        <v>34</v>
      </c>
      <c r="B28" s="3" t="n">
        <v>4</v>
      </c>
      <c r="C28" s="3" t="n">
        <v>15788</v>
      </c>
      <c r="D28" s="3" t="n">
        <v>3331</v>
      </c>
      <c r="E28" s="3" t="n">
        <f aca="false">C28</f>
        <v>15788</v>
      </c>
      <c r="F28" s="3" t="n">
        <f aca="false">D28</f>
        <v>3331</v>
      </c>
      <c r="G28" s="4" t="n">
        <f aca="false">E28-F28</f>
        <v>12457</v>
      </c>
      <c r="H28" s="3" t="n">
        <f aca="false">H27+G28</f>
        <v>280566</v>
      </c>
    </row>
    <row r="29" customFormat="false" ht="15" hidden="false" customHeight="false" outlineLevel="0" collapsed="false">
      <c r="A29" s="2" t="s">
        <v>35</v>
      </c>
      <c r="B29" s="3" t="n">
        <v>5</v>
      </c>
      <c r="C29" s="3" t="n">
        <v>5548</v>
      </c>
      <c r="D29" s="3" t="n">
        <v>3563</v>
      </c>
      <c r="E29" s="3" t="n">
        <f aca="false">C29</f>
        <v>5548</v>
      </c>
      <c r="F29" s="3" t="n">
        <f aca="false">D29</f>
        <v>3563</v>
      </c>
      <c r="G29" s="4" t="n">
        <f aca="false">E29-F29</f>
        <v>1985</v>
      </c>
      <c r="H29" s="3" t="n">
        <f aca="false">H28+G29</f>
        <v>282551</v>
      </c>
    </row>
    <row r="30" customFormat="false" ht="15" hidden="false" customHeight="false" outlineLevel="0" collapsed="false">
      <c r="A30" s="2" t="s">
        <v>36</v>
      </c>
      <c r="B30" s="3" t="n">
        <v>4</v>
      </c>
      <c r="C30" s="3" t="n">
        <v>22503</v>
      </c>
      <c r="D30" s="3" t="n">
        <v>3309</v>
      </c>
      <c r="E30" s="3" t="n">
        <f aca="false">C30</f>
        <v>22503</v>
      </c>
      <c r="F30" s="3" t="n">
        <f aca="false">D30</f>
        <v>3309</v>
      </c>
      <c r="G30" s="4" t="n">
        <f aca="false">E30-F30</f>
        <v>19194</v>
      </c>
      <c r="H30" s="3" t="n">
        <f aca="false">H29+G30</f>
        <v>301745</v>
      </c>
    </row>
    <row r="31" customFormat="false" ht="15" hidden="false" customHeight="false" outlineLevel="0" collapsed="false">
      <c r="A31" s="2" t="s">
        <v>37</v>
      </c>
      <c r="B31" s="3" t="n">
        <v>4</v>
      </c>
      <c r="C31" s="3" t="n">
        <v>13398</v>
      </c>
      <c r="D31" s="3" t="n">
        <v>3274</v>
      </c>
      <c r="E31" s="3" t="n">
        <f aca="false">C31</f>
        <v>13398</v>
      </c>
      <c r="F31" s="3" t="n">
        <f aca="false">D31</f>
        <v>3274</v>
      </c>
      <c r="G31" s="4" t="n">
        <f aca="false">E31-F31</f>
        <v>10124</v>
      </c>
      <c r="H31" s="3" t="n">
        <f aca="false">H30+G31</f>
        <v>311869</v>
      </c>
    </row>
    <row r="32" customFormat="false" ht="15" hidden="false" customHeight="false" outlineLevel="0" collapsed="false">
      <c r="A32" s="2" t="s">
        <v>38</v>
      </c>
      <c r="B32" s="3" t="n">
        <v>5</v>
      </c>
      <c r="C32" s="3" t="n">
        <v>23148</v>
      </c>
      <c r="D32" s="3" t="n">
        <v>3938</v>
      </c>
      <c r="E32" s="3" t="n">
        <f aca="false">C32</f>
        <v>23148</v>
      </c>
      <c r="F32" s="3" t="n">
        <f aca="false">D32</f>
        <v>3938</v>
      </c>
      <c r="G32" s="4" t="n">
        <f aca="false">E32-F32</f>
        <v>19210</v>
      </c>
      <c r="H32" s="3" t="n">
        <f aca="false">H31+G32</f>
        <v>331079</v>
      </c>
    </row>
    <row r="33" customFormat="false" ht="15" hidden="false" customHeight="false" outlineLevel="0" collapsed="false">
      <c r="A33" s="2" t="s">
        <v>39</v>
      </c>
      <c r="B33" s="3" t="n">
        <v>4</v>
      </c>
      <c r="C33" s="3" t="n">
        <v>19905</v>
      </c>
      <c r="D33" s="3" t="n">
        <v>3285</v>
      </c>
      <c r="E33" s="3" t="n">
        <f aca="false">C33</f>
        <v>19905</v>
      </c>
      <c r="F33" s="3" t="n">
        <f aca="false">D33</f>
        <v>3285</v>
      </c>
      <c r="G33" s="4" t="n">
        <f aca="false">E33-F33</f>
        <v>16620</v>
      </c>
      <c r="H33" s="3" t="n">
        <f aca="false">H32+G33</f>
        <v>347699</v>
      </c>
    </row>
    <row r="34" customFormat="false" ht="15" hidden="false" customHeight="false" outlineLevel="0" collapsed="false">
      <c r="A34" s="2" t="s">
        <v>40</v>
      </c>
      <c r="B34" s="3" t="n">
        <v>5</v>
      </c>
      <c r="C34" s="3" t="n">
        <v>14617</v>
      </c>
      <c r="D34" s="3" t="n">
        <v>4438</v>
      </c>
      <c r="E34" s="3" t="n">
        <f aca="false">C34</f>
        <v>14617</v>
      </c>
      <c r="F34" s="3" t="n">
        <f aca="false">D34</f>
        <v>4438</v>
      </c>
      <c r="G34" s="4" t="n">
        <f aca="false">E34-F34</f>
        <v>10179</v>
      </c>
      <c r="H34" s="3" t="n">
        <f aca="false">H33+G34</f>
        <v>357878</v>
      </c>
    </row>
    <row r="35" customFormat="false" ht="15" hidden="false" customHeight="false" outlineLevel="0" collapsed="false">
      <c r="A35" s="2" t="s">
        <v>41</v>
      </c>
      <c r="B35" s="3" t="n">
        <v>4</v>
      </c>
      <c r="C35" s="3" t="n">
        <v>32855</v>
      </c>
      <c r="D35" s="3" t="n">
        <v>3068</v>
      </c>
      <c r="E35" s="3" t="n">
        <f aca="false">C35</f>
        <v>32855</v>
      </c>
      <c r="F35" s="3" t="n">
        <f aca="false">D35</f>
        <v>3068</v>
      </c>
      <c r="G35" s="4" t="n">
        <f aca="false">E35-F35</f>
        <v>29787</v>
      </c>
      <c r="H35" s="3" t="n">
        <f aca="false">H34+G35</f>
        <v>387665</v>
      </c>
    </row>
    <row r="36" customFormat="false" ht="15" hidden="false" customHeight="false" outlineLevel="0" collapsed="false">
      <c r="A36" s="2" t="s">
        <v>42</v>
      </c>
      <c r="B36" s="3" t="n">
        <v>4</v>
      </c>
      <c r="C36" s="3" t="n">
        <v>22218</v>
      </c>
      <c r="D36" s="3" t="n">
        <v>3315</v>
      </c>
      <c r="E36" s="3" t="n">
        <f aca="false">C36</f>
        <v>22218</v>
      </c>
      <c r="F36" s="3" t="n">
        <f aca="false">D36</f>
        <v>3315</v>
      </c>
      <c r="G36" s="4" t="n">
        <f aca="false">E36-F36</f>
        <v>18903</v>
      </c>
      <c r="H36" s="3" t="n">
        <f aca="false">H35+G36</f>
        <v>406568</v>
      </c>
    </row>
    <row r="37" customFormat="false" ht="15" hidden="false" customHeight="false" outlineLevel="0" collapsed="false">
      <c r="A37" s="2" t="s">
        <v>43</v>
      </c>
      <c r="B37" s="3" t="n">
        <v>5</v>
      </c>
      <c r="C37" s="3" t="n">
        <v>9858</v>
      </c>
      <c r="D37" s="3" t="n">
        <v>4965</v>
      </c>
      <c r="E37" s="3" t="n">
        <f aca="false">C37</f>
        <v>9858</v>
      </c>
      <c r="F37" s="3" t="n">
        <f aca="false">D37</f>
        <v>4965</v>
      </c>
      <c r="G37" s="4" t="n">
        <f aca="false">E37-F37</f>
        <v>4893</v>
      </c>
      <c r="H37" s="3" t="n">
        <f aca="false">H36+G37</f>
        <v>411461</v>
      </c>
    </row>
    <row r="38" customFormat="false" ht="15" hidden="false" customHeight="false" outlineLevel="0" collapsed="false">
      <c r="A38" s="2" t="s">
        <v>44</v>
      </c>
      <c r="B38" s="3" t="n">
        <v>4</v>
      </c>
      <c r="C38" s="3" t="n">
        <v>-363</v>
      </c>
      <c r="D38" s="3" t="n">
        <v>4051</v>
      </c>
      <c r="E38" s="3" t="n">
        <f aca="false">C38</f>
        <v>-363</v>
      </c>
      <c r="F38" s="3" t="n">
        <f aca="false">D38</f>
        <v>4051</v>
      </c>
      <c r="G38" s="4" t="n">
        <f aca="false">E38-F38</f>
        <v>-4414</v>
      </c>
      <c r="H38" s="3" t="n">
        <f aca="false">H37+G38</f>
        <v>407047</v>
      </c>
    </row>
    <row r="39" customFormat="false" ht="15" hidden="false" customHeight="false" outlineLevel="0" collapsed="false">
      <c r="A39" s="2" t="s">
        <v>45</v>
      </c>
      <c r="B39" s="3" t="n">
        <v>4</v>
      </c>
      <c r="C39" s="3" t="n">
        <v>4663</v>
      </c>
      <c r="D39" s="3" t="n">
        <v>4072</v>
      </c>
      <c r="E39" s="3" t="n">
        <f aca="false">C39</f>
        <v>4663</v>
      </c>
      <c r="F39" s="3" t="n">
        <f aca="false">D39</f>
        <v>4072</v>
      </c>
      <c r="G39" s="4" t="n">
        <f aca="false">E39-F39</f>
        <v>591</v>
      </c>
      <c r="H39" s="3" t="n">
        <f aca="false">H38+G39</f>
        <v>407638</v>
      </c>
    </row>
    <row r="40" customFormat="false" ht="15" hidden="false" customHeight="false" outlineLevel="0" collapsed="false">
      <c r="A40" s="2" t="s">
        <v>46</v>
      </c>
      <c r="B40" s="3" t="n">
        <v>5</v>
      </c>
      <c r="C40" s="3" t="n">
        <v>40365</v>
      </c>
      <c r="D40" s="3" t="n">
        <v>4114</v>
      </c>
      <c r="E40" s="3" t="n">
        <f aca="false">C40</f>
        <v>40365</v>
      </c>
      <c r="F40" s="3" t="n">
        <f aca="false">D40</f>
        <v>4114</v>
      </c>
      <c r="G40" s="4" t="n">
        <f aca="false">E40-F40</f>
        <v>36251</v>
      </c>
      <c r="H40" s="3" t="n">
        <f aca="false">H39+G40</f>
        <v>443889</v>
      </c>
    </row>
    <row r="41" customFormat="false" ht="15" hidden="false" customHeight="false" outlineLevel="0" collapsed="false">
      <c r="A41" s="2" t="s">
        <v>47</v>
      </c>
      <c r="B41" s="3" t="n">
        <v>4</v>
      </c>
      <c r="C41" s="3" t="n">
        <v>12266</v>
      </c>
      <c r="D41" s="3" t="n">
        <v>3331</v>
      </c>
      <c r="E41" s="3" t="n">
        <f aca="false">C41</f>
        <v>12266</v>
      </c>
      <c r="F41" s="3" t="n">
        <f aca="false">D41</f>
        <v>3331</v>
      </c>
      <c r="G41" s="4" t="n">
        <f aca="false">E41-F41</f>
        <v>8935</v>
      </c>
      <c r="H41" s="3" t="n">
        <f aca="false">H40+G41</f>
        <v>452824</v>
      </c>
    </row>
    <row r="42" customFormat="false" ht="15" hidden="false" customHeight="false" outlineLevel="0" collapsed="false">
      <c r="A42" s="2" t="s">
        <v>48</v>
      </c>
      <c r="B42" s="3" t="n">
        <v>4</v>
      </c>
      <c r="C42" s="3" t="n">
        <v>4284</v>
      </c>
      <c r="D42" s="3" t="n">
        <v>3360</v>
      </c>
      <c r="E42" s="3" t="n">
        <f aca="false">C42</f>
        <v>4284</v>
      </c>
      <c r="F42" s="3" t="n">
        <f aca="false">D42</f>
        <v>3360</v>
      </c>
      <c r="G42" s="4" t="n">
        <f aca="false">E42-F42</f>
        <v>924</v>
      </c>
      <c r="H42" s="3" t="n">
        <f aca="false">H41+G42</f>
        <v>453748</v>
      </c>
    </row>
    <row r="43" customFormat="false" ht="15" hidden="false" customHeight="false" outlineLevel="0" collapsed="false">
      <c r="A43" s="2" t="s">
        <v>49</v>
      </c>
      <c r="B43" s="3" t="n">
        <v>5</v>
      </c>
      <c r="C43" s="3" t="n">
        <v>12024</v>
      </c>
      <c r="D43" s="3" t="n">
        <v>4758</v>
      </c>
      <c r="E43" s="3" t="n">
        <f aca="false">C43</f>
        <v>12024</v>
      </c>
      <c r="F43" s="3" t="n">
        <f aca="false">D43</f>
        <v>4758</v>
      </c>
      <c r="G43" s="4" t="n">
        <f aca="false">E43-F43</f>
        <v>7266</v>
      </c>
      <c r="H43" s="3" t="n">
        <f aca="false">H42+G43</f>
        <v>461014</v>
      </c>
    </row>
    <row r="44" customFormat="false" ht="15" hidden="false" customHeight="false" outlineLevel="0" collapsed="false">
      <c r="A44" s="2" t="s">
        <v>50</v>
      </c>
      <c r="B44" s="3" t="n">
        <v>4</v>
      </c>
      <c r="C44" s="3" t="n">
        <v>36540</v>
      </c>
      <c r="D44" s="3" t="n">
        <v>2847</v>
      </c>
      <c r="E44" s="3" t="n">
        <f aca="false">C44</f>
        <v>36540</v>
      </c>
      <c r="F44" s="3" t="n">
        <f aca="false">D44</f>
        <v>2847</v>
      </c>
      <c r="G44" s="4" t="n">
        <f aca="false">E44-F44</f>
        <v>33693</v>
      </c>
      <c r="H44" s="3" t="n">
        <f aca="false">H43+G44</f>
        <v>494707</v>
      </c>
    </row>
    <row r="45" customFormat="false" ht="15" hidden="false" customHeight="false" outlineLevel="0" collapsed="false">
      <c r="A45" s="2" t="s">
        <v>51</v>
      </c>
      <c r="B45" s="3" t="n">
        <v>4</v>
      </c>
      <c r="C45" s="3" t="n">
        <v>26746</v>
      </c>
      <c r="D45" s="3" t="n">
        <v>3064</v>
      </c>
      <c r="E45" s="3" t="n">
        <f aca="false">C45</f>
        <v>26746</v>
      </c>
      <c r="F45" s="3" t="n">
        <f aca="false">D45</f>
        <v>3064</v>
      </c>
      <c r="G45" s="4" t="n">
        <f aca="false">E45-F45</f>
        <v>23682</v>
      </c>
      <c r="H45" s="3" t="n">
        <f aca="false">H44+G45</f>
        <v>518389</v>
      </c>
    </row>
    <row r="46" customFormat="false" ht="15" hidden="false" customHeight="false" outlineLevel="0" collapsed="false">
      <c r="A46" s="2" t="s">
        <v>52</v>
      </c>
      <c r="B46" s="3" t="n">
        <v>5</v>
      </c>
      <c r="C46" s="3" t="n">
        <v>20395</v>
      </c>
      <c r="D46" s="3" t="n">
        <v>3861</v>
      </c>
      <c r="E46" s="3" t="n">
        <f aca="false">C46</f>
        <v>20395</v>
      </c>
      <c r="F46" s="3" t="n">
        <f aca="false">D46</f>
        <v>3861</v>
      </c>
      <c r="G46" s="4" t="n">
        <f aca="false">E46-F46</f>
        <v>16534</v>
      </c>
      <c r="H46" s="3" t="n">
        <f aca="false">H45+G46</f>
        <v>534923</v>
      </c>
    </row>
    <row r="47" customFormat="false" ht="15" hidden="false" customHeight="false" outlineLevel="0" collapsed="false">
      <c r="A47" s="2" t="s">
        <v>53</v>
      </c>
      <c r="B47" s="3" t="n">
        <v>4</v>
      </c>
      <c r="C47" s="3" t="n">
        <v>31152</v>
      </c>
      <c r="D47" s="3" t="n">
        <v>2845</v>
      </c>
      <c r="E47" s="3" t="n">
        <f aca="false">C47</f>
        <v>31152</v>
      </c>
      <c r="F47" s="3" t="n">
        <f aca="false">D47</f>
        <v>2845</v>
      </c>
      <c r="G47" s="4" t="n">
        <f aca="false">E47-F47</f>
        <v>28307</v>
      </c>
      <c r="H47" s="3" t="n">
        <f aca="false">H46+G47</f>
        <v>563230</v>
      </c>
    </row>
    <row r="48" customFormat="false" ht="15" hidden="false" customHeight="false" outlineLevel="0" collapsed="false">
      <c r="A48" s="2" t="s">
        <v>54</v>
      </c>
      <c r="B48" s="3" t="n">
        <v>4</v>
      </c>
      <c r="C48" s="3" t="n">
        <v>27901</v>
      </c>
      <c r="D48" s="3" t="n">
        <v>2830</v>
      </c>
      <c r="E48" s="3" t="n">
        <f aca="false">C48</f>
        <v>27901</v>
      </c>
      <c r="F48" s="3" t="n">
        <f aca="false">D48</f>
        <v>2830</v>
      </c>
      <c r="G48" s="4" t="n">
        <f aca="false">E48-F48</f>
        <v>25071</v>
      </c>
      <c r="H48" s="3" t="n">
        <f aca="false">H47+G48</f>
        <v>588301</v>
      </c>
    </row>
    <row r="49" customFormat="false" ht="15" hidden="false" customHeight="false" outlineLevel="0" collapsed="false">
      <c r="A49" s="2" t="s">
        <v>55</v>
      </c>
      <c r="B49" s="3" t="n">
        <v>5</v>
      </c>
      <c r="C49" s="3" t="n">
        <v>15810</v>
      </c>
      <c r="D49" s="3" t="n">
        <v>3760</v>
      </c>
      <c r="E49" s="3" t="n">
        <f aca="false">C49</f>
        <v>15810</v>
      </c>
      <c r="F49" s="3" t="n">
        <f aca="false">D49</f>
        <v>3760</v>
      </c>
      <c r="G49" s="4" t="n">
        <f aca="false">E49-F49</f>
        <v>12050</v>
      </c>
      <c r="H49" s="3" t="n">
        <f aca="false">H48+G49</f>
        <v>600351</v>
      </c>
    </row>
    <row r="50" customFormat="false" ht="15" hidden="false" customHeight="false" outlineLevel="0" collapsed="false">
      <c r="A50" s="2" t="s">
        <v>56</v>
      </c>
      <c r="B50" s="3" t="n">
        <v>4</v>
      </c>
      <c r="C50" s="3" t="n">
        <v>17716</v>
      </c>
      <c r="D50" s="3" t="n">
        <v>3301</v>
      </c>
      <c r="E50" s="3" t="n">
        <f aca="false">C50</f>
        <v>17716</v>
      </c>
      <c r="F50" s="3" t="n">
        <f aca="false">D50</f>
        <v>3301</v>
      </c>
      <c r="G50" s="4" t="n">
        <f aca="false">E50-F50</f>
        <v>14415</v>
      </c>
      <c r="H50" s="3" t="n">
        <f aca="false">H49+G50</f>
        <v>614766</v>
      </c>
    </row>
    <row r="51" customFormat="false" ht="15" hidden="false" customHeight="false" outlineLevel="0" collapsed="false">
      <c r="A51" s="2" t="s">
        <v>57</v>
      </c>
      <c r="B51" s="3" t="n">
        <v>4</v>
      </c>
      <c r="C51" s="3" t="n">
        <v>3641</v>
      </c>
      <c r="D51" s="3" t="n">
        <v>4022</v>
      </c>
      <c r="E51" s="3" t="n">
        <f aca="false">C51</f>
        <v>3641</v>
      </c>
      <c r="F51" s="3" t="n">
        <f aca="false">D51</f>
        <v>4022</v>
      </c>
      <c r="G51" s="4" t="n">
        <f aca="false">E51-F51</f>
        <v>-381</v>
      </c>
      <c r="H51" s="3" t="n">
        <f aca="false">H50+G51</f>
        <v>614385</v>
      </c>
    </row>
    <row r="52" customFormat="false" ht="15" hidden="false" customHeight="false" outlineLevel="0" collapsed="false">
      <c r="A52" s="2" t="s">
        <v>58</v>
      </c>
      <c r="B52" s="3" t="n">
        <v>5</v>
      </c>
      <c r="C52" s="3" t="n">
        <v>11834</v>
      </c>
      <c r="D52" s="3" t="n">
        <v>4481</v>
      </c>
      <c r="E52" s="3" t="n">
        <f aca="false">C52</f>
        <v>11834</v>
      </c>
      <c r="F52" s="3" t="n">
        <f aca="false">D52</f>
        <v>4481</v>
      </c>
      <c r="G52" s="4" t="n">
        <f aca="false">E52-F52</f>
        <v>7353</v>
      </c>
      <c r="H52" s="3" t="n">
        <f aca="false">H51+G52</f>
        <v>621738</v>
      </c>
    </row>
    <row r="53" customFormat="false" ht="15" hidden="false" customHeight="false" outlineLevel="0" collapsed="false">
      <c r="A53" s="2" t="s">
        <v>59</v>
      </c>
      <c r="B53" s="3" t="n">
        <v>4</v>
      </c>
      <c r="C53" s="3" t="n">
        <v>4321</v>
      </c>
      <c r="D53" s="3" t="n">
        <v>3269</v>
      </c>
      <c r="E53" s="3" t="n">
        <f aca="false">C53</f>
        <v>4321</v>
      </c>
      <c r="F53" s="3" t="n">
        <f aca="false">D53</f>
        <v>3269</v>
      </c>
      <c r="G53" s="4" t="n">
        <f aca="false">E53-F53</f>
        <v>1052</v>
      </c>
      <c r="H53" s="3" t="n">
        <f aca="false">H52+G53</f>
        <v>622790</v>
      </c>
    </row>
    <row r="54" customFormat="false" ht="15" hidden="false" customHeight="false" outlineLevel="0" collapsed="false">
      <c r="A54" s="2" t="s">
        <v>60</v>
      </c>
      <c r="B54" s="3" t="n">
        <v>4</v>
      </c>
      <c r="C54" s="3" t="n">
        <v>10484</v>
      </c>
      <c r="D54" s="3" t="n">
        <v>3729</v>
      </c>
      <c r="E54" s="3" t="n">
        <f aca="false">C54</f>
        <v>10484</v>
      </c>
      <c r="F54" s="3" t="n">
        <f aca="false">D54</f>
        <v>3729</v>
      </c>
      <c r="G54" s="4" t="n">
        <f aca="false">E54-F54</f>
        <v>6755</v>
      </c>
      <c r="H54" s="3" t="n">
        <f aca="false">H53+G54</f>
        <v>629545</v>
      </c>
    </row>
    <row r="55" customFormat="false" ht="15" hidden="false" customHeight="false" outlineLevel="0" collapsed="false">
      <c r="A55" s="2" t="s">
        <v>61</v>
      </c>
      <c r="B55" s="3" t="n">
        <v>5</v>
      </c>
      <c r="C55" s="3" t="n">
        <v>14622</v>
      </c>
      <c r="D55" s="3" t="n">
        <v>4886</v>
      </c>
      <c r="E55" s="3" t="n">
        <f aca="false">C55</f>
        <v>14622</v>
      </c>
      <c r="F55" s="3" t="n">
        <f aca="false">D55</f>
        <v>4886</v>
      </c>
      <c r="G55" s="4" t="n">
        <f aca="false">E55-F55</f>
        <v>9736</v>
      </c>
      <c r="H55" s="3" t="n">
        <f aca="false">H54+G55</f>
        <v>639281</v>
      </c>
    </row>
    <row r="56" customFormat="false" ht="15" hidden="false" customHeight="false" outlineLevel="0" collapsed="false">
      <c r="A56" s="2" t="s">
        <v>62</v>
      </c>
      <c r="B56" s="3" t="n">
        <v>4</v>
      </c>
      <c r="C56" s="3" t="n">
        <v>13009</v>
      </c>
      <c r="D56" s="3" t="n">
        <v>3299</v>
      </c>
      <c r="E56" s="3" t="n">
        <f aca="false">C56</f>
        <v>13009</v>
      </c>
      <c r="F56" s="3" t="n">
        <f aca="false">D56</f>
        <v>3299</v>
      </c>
      <c r="G56" s="4" t="n">
        <f aca="false">E56-F56</f>
        <v>9710</v>
      </c>
      <c r="H56" s="3" t="n">
        <f aca="false">H55+G56</f>
        <v>648991</v>
      </c>
    </row>
    <row r="57" customFormat="false" ht="15" hidden="false" customHeight="false" outlineLevel="0" collapsed="false">
      <c r="A57" s="2" t="s">
        <v>63</v>
      </c>
      <c r="B57" s="3" t="n">
        <v>5</v>
      </c>
      <c r="C57" s="3" t="n">
        <v>20527</v>
      </c>
      <c r="D57" s="3" t="n">
        <v>4216</v>
      </c>
      <c r="E57" s="3" t="n">
        <f aca="false">C57</f>
        <v>20527</v>
      </c>
      <c r="F57" s="3" t="n">
        <f aca="false">D57</f>
        <v>4216</v>
      </c>
      <c r="G57" s="4" t="n">
        <f aca="false">E57-F57</f>
        <v>16311</v>
      </c>
      <c r="H57" s="3" t="n">
        <f aca="false">H56+G57</f>
        <v>665302</v>
      </c>
    </row>
    <row r="58" customFormat="false" ht="15" hidden="false" customHeight="false" outlineLevel="0" collapsed="false">
      <c r="A58" s="2" t="s">
        <v>64</v>
      </c>
      <c r="B58" s="3" t="n">
        <v>4</v>
      </c>
      <c r="C58" s="3" t="n">
        <v>20705</v>
      </c>
      <c r="D58" s="3" t="n">
        <v>3977</v>
      </c>
      <c r="E58" s="3" t="n">
        <f aca="false">C58</f>
        <v>20705</v>
      </c>
      <c r="F58" s="3" t="n">
        <f aca="false">D58</f>
        <v>3977</v>
      </c>
      <c r="G58" s="4" t="n">
        <f aca="false">E58-F58</f>
        <v>16728</v>
      </c>
      <c r="H58" s="3" t="n">
        <f aca="false">H57+G58</f>
        <v>682030</v>
      </c>
    </row>
    <row r="59" customFormat="false" ht="15" hidden="false" customHeight="false" outlineLevel="0" collapsed="false">
      <c r="A59" s="2" t="s">
        <v>65</v>
      </c>
      <c r="B59" s="3" t="n">
        <v>4</v>
      </c>
      <c r="C59" s="3" t="n">
        <v>15939</v>
      </c>
      <c r="D59" s="3" t="n">
        <v>3977</v>
      </c>
      <c r="E59" s="3" t="n">
        <f aca="false">C59</f>
        <v>15939</v>
      </c>
      <c r="F59" s="3" t="n">
        <f aca="false">D59</f>
        <v>3977</v>
      </c>
      <c r="G59" s="4" t="n">
        <f aca="false">E59-F59</f>
        <v>11962</v>
      </c>
      <c r="H59" s="3" t="n">
        <f aca="false">H58+G59</f>
        <v>693992</v>
      </c>
    </row>
    <row r="60" customFormat="false" ht="15" hidden="false" customHeight="false" outlineLevel="0" collapsed="false">
      <c r="A60" s="2" t="s">
        <v>66</v>
      </c>
      <c r="B60" s="3" t="n">
        <v>5</v>
      </c>
      <c r="C60" s="3" t="n">
        <v>28298</v>
      </c>
      <c r="D60" s="3" t="n">
        <v>3731</v>
      </c>
      <c r="E60" s="3" t="n">
        <f aca="false">C60</f>
        <v>28298</v>
      </c>
      <c r="F60" s="3" t="n">
        <f aca="false">D60</f>
        <v>3731</v>
      </c>
      <c r="G60" s="4" t="n">
        <f aca="false">E60-F60</f>
        <v>24567</v>
      </c>
      <c r="H60" s="3" t="n">
        <f aca="false">H59+G60</f>
        <v>718559</v>
      </c>
    </row>
    <row r="61" customFormat="false" ht="15" hidden="false" customHeight="false" outlineLevel="0" collapsed="false">
      <c r="A61" s="2" t="s">
        <v>67</v>
      </c>
      <c r="B61" s="3" t="n">
        <v>4</v>
      </c>
      <c r="C61" s="3" t="n">
        <v>7378</v>
      </c>
      <c r="D61" s="3" t="n">
        <v>3776</v>
      </c>
      <c r="E61" s="3" t="n">
        <f aca="false">C61</f>
        <v>7378</v>
      </c>
      <c r="F61" s="3" t="n">
        <f aca="false">D61</f>
        <v>3776</v>
      </c>
      <c r="G61" s="4" t="n">
        <f aca="false">E61-F61</f>
        <v>3602</v>
      </c>
      <c r="H61" s="3" t="n">
        <f aca="false">H60+G61</f>
        <v>722161</v>
      </c>
    </row>
    <row r="62" customFormat="false" ht="15" hidden="false" customHeight="false" outlineLevel="0" collapsed="false">
      <c r="A62" s="2" t="s">
        <v>68</v>
      </c>
      <c r="B62" s="3" t="n">
        <v>4</v>
      </c>
      <c r="C62" s="3" t="n">
        <v>17012</v>
      </c>
      <c r="D62" s="3" t="n">
        <v>3344</v>
      </c>
      <c r="E62" s="3" t="n">
        <f aca="false">C62</f>
        <v>17012</v>
      </c>
      <c r="F62" s="3" t="n">
        <f aca="false">D62</f>
        <v>3344</v>
      </c>
      <c r="G62" s="4" t="n">
        <f aca="false">E62-F62</f>
        <v>13668</v>
      </c>
      <c r="H62" s="3" t="n">
        <f aca="false">H61+G62</f>
        <v>735829</v>
      </c>
    </row>
    <row r="63" customFormat="false" ht="15" hidden="false" customHeight="false" outlineLevel="0" collapsed="false">
      <c r="A63" s="2" t="s">
        <v>69</v>
      </c>
      <c r="B63" s="3" t="n">
        <v>5</v>
      </c>
      <c r="C63" s="3" t="n">
        <v>36236</v>
      </c>
      <c r="D63" s="3" t="n">
        <v>5097</v>
      </c>
      <c r="E63" s="3" t="n">
        <f aca="false">C63</f>
        <v>36236</v>
      </c>
      <c r="F63" s="3" t="n">
        <f aca="false">D63</f>
        <v>5097</v>
      </c>
      <c r="G63" s="4" t="n">
        <f aca="false">E63-F63</f>
        <v>31139</v>
      </c>
      <c r="H63" s="3" t="n">
        <f aca="false">H62+G63</f>
        <v>766968</v>
      </c>
    </row>
    <row r="64" customFormat="false" ht="15" hidden="false" customHeight="false" outlineLevel="0" collapsed="false">
      <c r="A64" s="2" t="s">
        <v>70</v>
      </c>
      <c r="B64" s="3" t="n">
        <v>4</v>
      </c>
      <c r="C64" s="3" t="n">
        <v>16649</v>
      </c>
      <c r="D64" s="3" t="n">
        <v>4280</v>
      </c>
      <c r="E64" s="3" t="n">
        <f aca="false">C64</f>
        <v>16649</v>
      </c>
      <c r="F64" s="3" t="n">
        <f aca="false">D64</f>
        <v>4280</v>
      </c>
      <c r="G64" s="4" t="n">
        <f aca="false">E64-F64</f>
        <v>12369</v>
      </c>
      <c r="H64" s="3" t="n">
        <f aca="false">H63+G64</f>
        <v>779337</v>
      </c>
    </row>
    <row r="65" customFormat="false" ht="15" hidden="false" customHeight="false" outlineLevel="0" collapsed="false">
      <c r="A65" s="2" t="s">
        <v>71</v>
      </c>
      <c r="B65" s="3" t="n">
        <v>4</v>
      </c>
      <c r="C65" s="3" t="n">
        <v>-9812</v>
      </c>
      <c r="D65" s="3" t="n">
        <v>4276</v>
      </c>
      <c r="E65" s="3" t="n">
        <f aca="false">C65</f>
        <v>-9812</v>
      </c>
      <c r="F65" s="3" t="n">
        <f aca="false">D65</f>
        <v>4276</v>
      </c>
      <c r="G65" s="4" t="n">
        <f aca="false">E65-F65</f>
        <v>-14088</v>
      </c>
      <c r="H65" s="3" t="n">
        <f aca="false">H64+G65</f>
        <v>765249</v>
      </c>
    </row>
    <row r="66" customFormat="false" ht="15" hidden="false" customHeight="false" outlineLevel="0" collapsed="false">
      <c r="A66" s="2" t="s">
        <v>72</v>
      </c>
      <c r="B66" s="3" t="n">
        <v>5</v>
      </c>
      <c r="C66" s="3" t="n">
        <v>41967</v>
      </c>
      <c r="D66" s="3" t="n">
        <v>4313</v>
      </c>
      <c r="E66" s="3" t="n">
        <f aca="false">C66</f>
        <v>41967</v>
      </c>
      <c r="F66" s="3" t="n">
        <f aca="false">D66</f>
        <v>4313</v>
      </c>
      <c r="G66" s="4" t="n">
        <f aca="false">E66-F66</f>
        <v>37654</v>
      </c>
      <c r="H66" s="3" t="n">
        <f aca="false">H65+G66</f>
        <v>802903</v>
      </c>
    </row>
    <row r="67" customFormat="false" ht="15" hidden="false" customHeight="false" outlineLevel="0" collapsed="false">
      <c r="A67" s="2" t="s">
        <v>73</v>
      </c>
      <c r="B67" s="3" t="n">
        <v>4</v>
      </c>
      <c r="C67" s="3" t="n">
        <v>53097</v>
      </c>
      <c r="D67" s="3" t="n">
        <v>3648</v>
      </c>
      <c r="E67" s="3" t="n">
        <f aca="false">C67</f>
        <v>53097</v>
      </c>
      <c r="F67" s="3" t="n">
        <f aca="false">D67</f>
        <v>3648</v>
      </c>
      <c r="G67" s="4" t="n">
        <f aca="false">E67-F67</f>
        <v>49449</v>
      </c>
      <c r="H67" s="3" t="n">
        <f aca="false">H66+G67</f>
        <v>852352</v>
      </c>
    </row>
    <row r="68" customFormat="false" ht="15" hidden="false" customHeight="false" outlineLevel="0" collapsed="false">
      <c r="A68" s="2" t="s">
        <v>74</v>
      </c>
      <c r="B68" s="3" t="n">
        <v>4</v>
      </c>
      <c r="C68" s="3" t="n">
        <v>24043</v>
      </c>
      <c r="D68" s="3" t="n">
        <v>3361</v>
      </c>
      <c r="E68" s="3" t="n">
        <f aca="false">C68</f>
        <v>24043</v>
      </c>
      <c r="F68" s="3" t="n">
        <f aca="false">D68</f>
        <v>3361</v>
      </c>
      <c r="G68" s="4" t="n">
        <f aca="false">E68-F68</f>
        <v>20682</v>
      </c>
      <c r="H68" s="3" t="n">
        <f aca="false">H67+G68</f>
        <v>873034</v>
      </c>
    </row>
    <row r="69" customFormat="false" ht="15" hidden="false" customHeight="false" outlineLevel="0" collapsed="false">
      <c r="A69" s="2" t="s">
        <v>75</v>
      </c>
      <c r="B69" s="3" t="n">
        <v>5</v>
      </c>
      <c r="C69" s="3" t="n">
        <v>31443</v>
      </c>
      <c r="D69" s="3" t="n">
        <v>4320</v>
      </c>
      <c r="E69" s="3" t="n">
        <f aca="false">C69</f>
        <v>31443</v>
      </c>
      <c r="F69" s="3" t="n">
        <f aca="false">D69</f>
        <v>4320</v>
      </c>
      <c r="G69" s="4" t="n">
        <f aca="false">E69-F69</f>
        <v>27123</v>
      </c>
      <c r="H69" s="3" t="n">
        <f aca="false">H68+G69</f>
        <v>900157</v>
      </c>
    </row>
    <row r="70" customFormat="false" ht="15" hidden="false" customHeight="false" outlineLevel="0" collapsed="false">
      <c r="A70" s="2" t="s">
        <v>76</v>
      </c>
      <c r="B70" s="3" t="n">
        <v>4</v>
      </c>
      <c r="C70" s="3" t="n">
        <v>19397</v>
      </c>
      <c r="D70" s="3" t="n">
        <v>2864</v>
      </c>
      <c r="E70" s="3" t="n">
        <f aca="false">C70</f>
        <v>19397</v>
      </c>
      <c r="F70" s="3" t="n">
        <f aca="false">D70</f>
        <v>2864</v>
      </c>
      <c r="G70" s="4" t="n">
        <f aca="false">E70-F70</f>
        <v>16533</v>
      </c>
      <c r="H70" s="3" t="n">
        <f aca="false">H69+G70</f>
        <v>916690</v>
      </c>
    </row>
    <row r="71" customFormat="false" ht="15" hidden="false" customHeight="false" outlineLevel="0" collapsed="false">
      <c r="A71" s="2" t="s">
        <v>77</v>
      </c>
      <c r="B71" s="3" t="n">
        <v>5</v>
      </c>
      <c r="C71" s="3" t="n">
        <v>57797</v>
      </c>
      <c r="D71" s="3" t="n">
        <v>4827</v>
      </c>
      <c r="E71" s="3" t="n">
        <f aca="false">C71</f>
        <v>57797</v>
      </c>
      <c r="F71" s="3" t="n">
        <f aca="false">D71</f>
        <v>4827</v>
      </c>
      <c r="G71" s="4" t="n">
        <f aca="false">E71-F71</f>
        <v>52970</v>
      </c>
      <c r="H71" s="3" t="n">
        <f aca="false">H70+G71</f>
        <v>969660</v>
      </c>
    </row>
    <row r="72" customFormat="false" ht="15" hidden="false" customHeight="false" outlineLevel="0" collapsed="false">
      <c r="A72" s="2" t="s">
        <v>78</v>
      </c>
      <c r="B72" s="3" t="n">
        <v>4</v>
      </c>
      <c r="C72" s="3" t="n">
        <v>49549</v>
      </c>
      <c r="D72" s="3" t="n">
        <v>3894</v>
      </c>
      <c r="E72" s="3" t="n">
        <f aca="false">C72</f>
        <v>49549</v>
      </c>
      <c r="F72" s="3" t="n">
        <f aca="false">D72</f>
        <v>3894</v>
      </c>
      <c r="G72" s="4" t="n">
        <f aca="false">E72-F72</f>
        <v>45655</v>
      </c>
      <c r="H72" s="3" t="n">
        <f aca="false">H71+G72</f>
        <v>1015315</v>
      </c>
    </row>
    <row r="73" customFormat="false" ht="15" hidden="false" customHeight="false" outlineLevel="0" collapsed="false">
      <c r="A73" s="2" t="s">
        <v>79</v>
      </c>
      <c r="B73" s="3" t="n">
        <v>4</v>
      </c>
      <c r="C73" s="3" t="n">
        <v>18214</v>
      </c>
      <c r="D73" s="3" t="n">
        <v>3636</v>
      </c>
      <c r="E73" s="3" t="n">
        <f aca="false">C73</f>
        <v>18214</v>
      </c>
      <c r="F73" s="3" t="n">
        <f aca="false">D73</f>
        <v>3636</v>
      </c>
      <c r="G73" s="4" t="n">
        <f aca="false">E73-F73</f>
        <v>14578</v>
      </c>
      <c r="H73" s="3" t="n">
        <f aca="false">H72+G73</f>
        <v>1029893</v>
      </c>
    </row>
    <row r="74" customFormat="false" ht="15" hidden="false" customHeight="false" outlineLevel="0" collapsed="false">
      <c r="A74" s="2" t="s">
        <v>80</v>
      </c>
      <c r="B74" s="3" t="n">
        <v>5</v>
      </c>
      <c r="C74" s="3" t="n">
        <v>53354</v>
      </c>
      <c r="D74" s="3" t="n">
        <v>4090</v>
      </c>
      <c r="E74" s="3" t="n">
        <f aca="false">C74</f>
        <v>53354</v>
      </c>
      <c r="F74" s="3" t="n">
        <f aca="false">D74</f>
        <v>4090</v>
      </c>
      <c r="G74" s="4" t="n">
        <f aca="false">E74-F74</f>
        <v>49264</v>
      </c>
      <c r="H74" s="3" t="n">
        <f aca="false">H73+G74</f>
        <v>1079157</v>
      </c>
    </row>
    <row r="75" customFormat="false" ht="15" hidden="false" customHeight="false" outlineLevel="0" collapsed="false">
      <c r="A75" s="2" t="s">
        <v>81</v>
      </c>
      <c r="B75" s="3" t="n">
        <v>4</v>
      </c>
      <c r="C75" s="3" t="n">
        <v>34919</v>
      </c>
      <c r="D75" s="3" t="n">
        <v>3118</v>
      </c>
      <c r="E75" s="3" t="n">
        <f aca="false">C75</f>
        <v>34919</v>
      </c>
      <c r="F75" s="3" t="n">
        <f aca="false">D75</f>
        <v>3118</v>
      </c>
      <c r="G75" s="4" t="n">
        <f aca="false">E75-F75</f>
        <v>31801</v>
      </c>
      <c r="H75" s="3" t="n">
        <f aca="false">H74+G75</f>
        <v>1110958</v>
      </c>
    </row>
    <row r="76" customFormat="false" ht="15" hidden="false" customHeight="false" outlineLevel="0" collapsed="false">
      <c r="A76" s="2" t="s">
        <v>82</v>
      </c>
      <c r="B76" s="3" t="n">
        <v>4</v>
      </c>
      <c r="C76" s="3" t="n">
        <v>14823</v>
      </c>
      <c r="D76" s="3" t="n">
        <v>4286</v>
      </c>
      <c r="E76" s="3" t="n">
        <f aca="false">C76</f>
        <v>14823</v>
      </c>
      <c r="F76" s="3" t="n">
        <f aca="false">D76</f>
        <v>4286</v>
      </c>
      <c r="G76" s="4" t="n">
        <f aca="false">E76-F76</f>
        <v>10537</v>
      </c>
      <c r="H76" s="3" t="n">
        <f aca="false">H75+G76</f>
        <v>1121495</v>
      </c>
    </row>
    <row r="77" customFormat="false" ht="15" hidden="false" customHeight="false" outlineLevel="0" collapsed="false">
      <c r="A77" s="2" t="s">
        <v>83</v>
      </c>
      <c r="B77" s="3" t="n">
        <v>5</v>
      </c>
      <c r="C77" s="3" t="n">
        <v>71935</v>
      </c>
      <c r="D77" s="3" t="n">
        <v>5044</v>
      </c>
      <c r="E77" s="3" t="n">
        <f aca="false">C77</f>
        <v>71935</v>
      </c>
      <c r="F77" s="3" t="n">
        <f aca="false">D77</f>
        <v>5044</v>
      </c>
      <c r="G77" s="4" t="n">
        <f aca="false">E77-F77</f>
        <v>66891</v>
      </c>
      <c r="H77" s="3" t="n">
        <f aca="false">H76+G77</f>
        <v>1188386</v>
      </c>
    </row>
    <row r="78" customFormat="false" ht="15" hidden="false" customHeight="false" outlineLevel="0" collapsed="false">
      <c r="A78" s="2" t="s">
        <v>84</v>
      </c>
      <c r="B78" s="3" t="n">
        <v>4</v>
      </c>
      <c r="C78" s="3" t="n">
        <v>29543</v>
      </c>
      <c r="D78" s="3" t="n">
        <v>3418</v>
      </c>
      <c r="E78" s="3" t="n">
        <f aca="false">C78</f>
        <v>29543</v>
      </c>
      <c r="F78" s="3" t="n">
        <f aca="false">D78</f>
        <v>3418</v>
      </c>
      <c r="G78" s="4" t="n">
        <f aca="false">E78-F78</f>
        <v>26125</v>
      </c>
      <c r="H78" s="3" t="n">
        <f aca="false">H77+G78</f>
        <v>1214511</v>
      </c>
    </row>
    <row r="79" customFormat="false" ht="15" hidden="false" customHeight="false" outlineLevel="0" collapsed="false">
      <c r="A79" s="2" t="s">
        <v>85</v>
      </c>
      <c r="B79" s="3" t="n">
        <v>4</v>
      </c>
      <c r="C79" s="3" t="n">
        <v>20261</v>
      </c>
      <c r="D79" s="3" t="n">
        <v>3347</v>
      </c>
      <c r="E79" s="3" t="n">
        <f aca="false">C79</f>
        <v>20261</v>
      </c>
      <c r="F79" s="3" t="n">
        <f aca="false">D79</f>
        <v>3347</v>
      </c>
      <c r="G79" s="4" t="n">
        <f aca="false">E79-F79</f>
        <v>16914</v>
      </c>
      <c r="H79" s="3" t="n">
        <f aca="false">H78+G79</f>
        <v>1231425</v>
      </c>
    </row>
    <row r="80" customFormat="false" ht="15" hidden="false" customHeight="false" outlineLevel="0" collapsed="false">
      <c r="A80" s="2" t="s">
        <v>86</v>
      </c>
      <c r="B80" s="3" t="n">
        <v>5</v>
      </c>
      <c r="C80" s="3" t="n">
        <v>21164</v>
      </c>
      <c r="D80" s="3" t="n">
        <v>4029</v>
      </c>
      <c r="E80" s="3" t="n">
        <f aca="false">C80</f>
        <v>21164</v>
      </c>
      <c r="F80" s="3" t="n">
        <f aca="false">D80</f>
        <v>4029</v>
      </c>
      <c r="G80" s="4" t="n">
        <f aca="false">E80-F80</f>
        <v>17135</v>
      </c>
      <c r="H80" s="3" t="n">
        <f aca="false">H79+G80</f>
        <v>1248560</v>
      </c>
    </row>
    <row r="81" customFormat="false" ht="15" hidden="false" customHeight="false" outlineLevel="0" collapsed="false">
      <c r="A81" s="2" t="s">
        <v>87</v>
      </c>
      <c r="B81" s="3" t="n">
        <v>4</v>
      </c>
      <c r="C81" s="3" t="n">
        <v>-5813</v>
      </c>
      <c r="D81" s="3" t="n">
        <v>3580</v>
      </c>
      <c r="E81" s="3" t="n">
        <f aca="false">C81</f>
        <v>-5813</v>
      </c>
      <c r="F81" s="3" t="n">
        <f aca="false">D81</f>
        <v>3580</v>
      </c>
      <c r="G81" s="4" t="n">
        <f aca="false">E81-F81</f>
        <v>-9393</v>
      </c>
      <c r="H81" s="3" t="n">
        <f aca="false">H80+G81</f>
        <v>1239167</v>
      </c>
    </row>
    <row r="82" customFormat="false" ht="15" hidden="false" customHeight="false" outlineLevel="0" collapsed="false">
      <c r="A82" s="2" t="s">
        <v>88</v>
      </c>
      <c r="B82" s="3" t="n">
        <v>5</v>
      </c>
      <c r="C82" s="3" t="n">
        <v>14155</v>
      </c>
      <c r="D82" s="3" t="n">
        <v>4215</v>
      </c>
      <c r="E82" s="3" t="n">
        <f aca="false">C82</f>
        <v>14155</v>
      </c>
      <c r="F82" s="3" t="n">
        <f aca="false">D82</f>
        <v>4215</v>
      </c>
      <c r="G82" s="4" t="n">
        <f aca="false">E82-F82</f>
        <v>9940</v>
      </c>
      <c r="H82" s="3" t="n">
        <f aca="false">H81+G82</f>
        <v>1249107</v>
      </c>
    </row>
    <row r="83" customFormat="false" ht="15" hidden="false" customHeight="false" outlineLevel="0" collapsed="false">
      <c r="A83" s="2" t="s">
        <v>89</v>
      </c>
      <c r="B83" s="3" t="n">
        <v>4</v>
      </c>
      <c r="C83" s="3" t="n">
        <v>9097</v>
      </c>
      <c r="D83" s="3" t="n">
        <v>3783</v>
      </c>
      <c r="E83" s="3" t="n">
        <f aca="false">C83</f>
        <v>9097</v>
      </c>
      <c r="F83" s="3" t="n">
        <f aca="false">D83</f>
        <v>3783</v>
      </c>
      <c r="G83" s="4" t="n">
        <f aca="false">E83-F83</f>
        <v>5314</v>
      </c>
      <c r="H83" s="3" t="n">
        <f aca="false">H82+G83</f>
        <v>1254421</v>
      </c>
    </row>
    <row r="84" customFormat="false" ht="15" hidden="false" customHeight="false" outlineLevel="0" collapsed="false">
      <c r="A84" s="2" t="s">
        <v>90</v>
      </c>
      <c r="B84" s="3" t="n">
        <v>4</v>
      </c>
      <c r="C84" s="3" t="n">
        <v>15736</v>
      </c>
      <c r="D84" s="3" t="n">
        <v>4033</v>
      </c>
      <c r="E84" s="3" t="n">
        <f aca="false">C84</f>
        <v>15736</v>
      </c>
      <c r="F84" s="3" t="n">
        <f aca="false">D84</f>
        <v>4033</v>
      </c>
      <c r="G84" s="4" t="n">
        <f aca="false">E84-F84</f>
        <v>11703</v>
      </c>
      <c r="H84" s="3" t="n">
        <f aca="false">H83+G84</f>
        <v>1266124</v>
      </c>
    </row>
    <row r="85" customFormat="false" ht="15" hidden="false" customHeight="false" outlineLevel="0" collapsed="false">
      <c r="A85" s="2" t="s">
        <v>91</v>
      </c>
      <c r="B85" s="3" t="n">
        <v>5</v>
      </c>
      <c r="C85" s="3" t="n">
        <v>30979</v>
      </c>
      <c r="D85" s="3" t="n">
        <v>4732</v>
      </c>
      <c r="E85" s="3" t="n">
        <f aca="false">C85</f>
        <v>30979</v>
      </c>
      <c r="F85" s="3" t="n">
        <f aca="false">D85</f>
        <v>4732</v>
      </c>
      <c r="G85" s="4" t="n">
        <f aca="false">E85-F85</f>
        <v>26247</v>
      </c>
      <c r="H85" s="3" t="n">
        <f aca="false">H84+G85</f>
        <v>1292371</v>
      </c>
    </row>
    <row r="86" customFormat="false" ht="15" hidden="false" customHeight="false" outlineLevel="0" collapsed="false">
      <c r="A86" s="2" t="s">
        <v>92</v>
      </c>
      <c r="B86" s="3" t="n">
        <v>4</v>
      </c>
      <c r="C86" s="3" t="n">
        <v>18395</v>
      </c>
      <c r="D86" s="3" t="n">
        <v>3805</v>
      </c>
      <c r="E86" s="3" t="n">
        <f aca="false">C86</f>
        <v>18395</v>
      </c>
      <c r="F86" s="3" t="n">
        <f aca="false">D86</f>
        <v>3805</v>
      </c>
      <c r="G86" s="4" t="n">
        <f aca="false">E86-F86</f>
        <v>14590</v>
      </c>
      <c r="H86" s="3" t="n">
        <f aca="false">H85+G86</f>
        <v>1306961</v>
      </c>
    </row>
    <row r="87" customFormat="false" ht="15" hidden="false" customHeight="false" outlineLevel="0" collapsed="false">
      <c r="A87" s="2" t="s">
        <v>93</v>
      </c>
      <c r="B87" s="3" t="n">
        <v>4</v>
      </c>
      <c r="C87" s="3" t="n">
        <v>72604</v>
      </c>
      <c r="D87" s="3" t="n">
        <v>3179</v>
      </c>
      <c r="E87" s="3" t="n">
        <f aca="false">C87</f>
        <v>72604</v>
      </c>
      <c r="F87" s="3" t="n">
        <f aca="false">D87</f>
        <v>3179</v>
      </c>
      <c r="G87" s="4" t="n">
        <f aca="false">E87-F87</f>
        <v>69425</v>
      </c>
      <c r="H87" s="3" t="n">
        <f aca="false">H86+G87</f>
        <v>1376386</v>
      </c>
    </row>
    <row r="88" customFormat="false" ht="15" hidden="false" customHeight="false" outlineLevel="0" collapsed="false">
      <c r="A88" s="2" t="s">
        <v>94</v>
      </c>
      <c r="B88" s="3" t="n">
        <v>5</v>
      </c>
      <c r="C88" s="3" t="n">
        <v>40025</v>
      </c>
      <c r="D88" s="3" t="n">
        <v>4623</v>
      </c>
      <c r="E88" s="3" t="n">
        <f aca="false">C88</f>
        <v>40025</v>
      </c>
      <c r="F88" s="3" t="n">
        <f aca="false">D88</f>
        <v>4623</v>
      </c>
      <c r="G88" s="4" t="n">
        <f aca="false">E88-F88</f>
        <v>35402</v>
      </c>
      <c r="H88" s="3" t="n">
        <f aca="false">H87+G88</f>
        <v>1411788</v>
      </c>
    </row>
    <row r="89" customFormat="false" ht="15" hidden="false" customHeight="false" outlineLevel="0" collapsed="false">
      <c r="A89" s="2" t="s">
        <v>95</v>
      </c>
      <c r="B89" s="3" t="n">
        <v>4</v>
      </c>
      <c r="C89" s="3" t="n">
        <v>49442</v>
      </c>
      <c r="D89" s="3" t="n">
        <v>3719</v>
      </c>
      <c r="E89" s="3" t="n">
        <f aca="false">C89</f>
        <v>49442</v>
      </c>
      <c r="F89" s="3" t="n">
        <f aca="false">D89</f>
        <v>3719</v>
      </c>
      <c r="G89" s="4" t="n">
        <f aca="false">E89-F89</f>
        <v>45723</v>
      </c>
      <c r="H89" s="3" t="n">
        <f aca="false">H88+G89</f>
        <v>1457511</v>
      </c>
    </row>
    <row r="90" customFormat="false" ht="15" hidden="false" customHeight="false" outlineLevel="0" collapsed="false">
      <c r="A90" s="2" t="s">
        <v>96</v>
      </c>
      <c r="B90" s="3" t="n">
        <v>4</v>
      </c>
      <c r="C90" s="3" t="n">
        <v>9395</v>
      </c>
      <c r="D90" s="3" t="n">
        <v>3884</v>
      </c>
      <c r="E90" s="3" t="n">
        <f aca="false">C90</f>
        <v>9395</v>
      </c>
      <c r="F90" s="3" t="n">
        <f aca="false">D90</f>
        <v>3884</v>
      </c>
      <c r="G90" s="4" t="n">
        <f aca="false">E90-F90</f>
        <v>5511</v>
      </c>
      <c r="H90" s="3" t="n">
        <f aca="false">H89+G90</f>
        <v>1463022</v>
      </c>
    </row>
    <row r="91" customFormat="false" ht="15" hidden="false" customHeight="false" outlineLevel="0" collapsed="false">
      <c r="A91" s="2" t="s">
        <v>97</v>
      </c>
      <c r="B91" s="3" t="n">
        <v>5</v>
      </c>
      <c r="C91" s="3" t="n">
        <v>24484</v>
      </c>
      <c r="D91" s="3" t="n">
        <v>4534</v>
      </c>
      <c r="E91" s="3" t="n">
        <f aca="false">C91</f>
        <v>24484</v>
      </c>
      <c r="F91" s="3" t="n">
        <f aca="false">D91</f>
        <v>4534</v>
      </c>
      <c r="G91" s="4" t="n">
        <f aca="false">E91-F91</f>
        <v>19950</v>
      </c>
      <c r="H91" s="3" t="n">
        <f aca="false">H90+G91</f>
        <v>1482972</v>
      </c>
    </row>
    <row r="92" customFormat="false" ht="15" hidden="false" customHeight="false" outlineLevel="0" collapsed="false">
      <c r="A92" s="2" t="s">
        <v>98</v>
      </c>
      <c r="B92" s="3" t="n">
        <v>4</v>
      </c>
      <c r="C92" s="3" t="n">
        <v>25281</v>
      </c>
      <c r="D92" s="3" t="n">
        <v>2860</v>
      </c>
      <c r="E92" s="3" t="n">
        <f aca="false">C92</f>
        <v>25281</v>
      </c>
      <c r="F92" s="3" t="n">
        <f aca="false">D92</f>
        <v>2860</v>
      </c>
      <c r="G92" s="4" t="n">
        <f aca="false">E92-F92</f>
        <v>22421</v>
      </c>
      <c r="H92" s="3" t="n">
        <f aca="false">H91+G92</f>
        <v>1505393</v>
      </c>
    </row>
    <row r="93" customFormat="false" ht="15" hidden="false" customHeight="false" outlineLevel="0" collapsed="false">
      <c r="A93" s="2" t="s">
        <v>99</v>
      </c>
      <c r="B93" s="3" t="n">
        <v>4</v>
      </c>
      <c r="C93" s="3" t="n">
        <v>32685</v>
      </c>
      <c r="D93" s="3" t="n">
        <v>3083</v>
      </c>
      <c r="E93" s="3" t="n">
        <f aca="false">C93</f>
        <v>32685</v>
      </c>
      <c r="F93" s="3" t="n">
        <f aca="false">D93</f>
        <v>3083</v>
      </c>
      <c r="G93" s="4" t="n">
        <f aca="false">E93-F93</f>
        <v>29602</v>
      </c>
      <c r="H93" s="3" t="n">
        <f aca="false">H92+G93</f>
        <v>1534995</v>
      </c>
    </row>
    <row r="94" customFormat="false" ht="15" hidden="false" customHeight="false" outlineLevel="0" collapsed="false">
      <c r="A94" s="2" t="s">
        <v>100</v>
      </c>
      <c r="B94" s="3" t="n">
        <v>5</v>
      </c>
      <c r="C94" s="3" t="n">
        <v>13814</v>
      </c>
      <c r="D94" s="3" t="n">
        <v>4749</v>
      </c>
      <c r="E94" s="3" t="n">
        <f aca="false">C94</f>
        <v>13814</v>
      </c>
      <c r="F94" s="3" t="n">
        <f aca="false">D94</f>
        <v>4749</v>
      </c>
      <c r="G94" s="4" t="n">
        <f aca="false">E94-F94</f>
        <v>9065</v>
      </c>
      <c r="H94" s="3" t="n">
        <f aca="false">H93+G94</f>
        <v>1544060</v>
      </c>
    </row>
    <row r="95" customFormat="false" ht="15" hidden="false" customHeight="false" outlineLevel="0" collapsed="false">
      <c r="A95" s="2" t="s">
        <v>101</v>
      </c>
      <c r="B95" s="3" t="n">
        <v>3</v>
      </c>
      <c r="C95" s="3" t="n">
        <v>18426</v>
      </c>
      <c r="D95" s="3" t="n">
        <v>2423</v>
      </c>
      <c r="E95" s="3" t="n">
        <f aca="false">C95</f>
        <v>18426</v>
      </c>
      <c r="F95" s="3" t="n">
        <f aca="false">D95</f>
        <v>2423</v>
      </c>
      <c r="G95" s="4" t="n">
        <f aca="false">E95-F95</f>
        <v>16003</v>
      </c>
      <c r="H95" s="3" t="n">
        <f aca="false">H94+G95</f>
        <v>1560063</v>
      </c>
    </row>
    <row r="96" customFormat="false" ht="15" hidden="false" customHeight="false" outlineLevel="0" collapsed="false">
      <c r="A96" s="2" t="s">
        <v>102</v>
      </c>
      <c r="B96" s="4" t="n">
        <f aca="false">SUM(B2:B95)</f>
        <v>403</v>
      </c>
      <c r="C96" s="4" t="n">
        <f aca="false">SUM(C2:C95)</f>
        <v>1910244</v>
      </c>
      <c r="D96" s="4" t="n">
        <f aca="false">SUM(D2:D95)</f>
        <v>350181</v>
      </c>
      <c r="E96" s="4" t="n">
        <f aca="false">SUM(E2:E95)</f>
        <v>1910244</v>
      </c>
      <c r="F96" s="4" t="n">
        <f aca="false">SUM(F2:F95)</f>
        <v>350181</v>
      </c>
      <c r="G96" s="4" t="n">
        <f aca="false">SUM(G2:G95)</f>
        <v>1560063</v>
      </c>
    </row>
    <row r="98" customFormat="false" ht="15" hidden="false" customHeight="false" outlineLevel="0" collapsed="false">
      <c r="A98" s="5" t="s">
        <v>103</v>
      </c>
    </row>
    <row r="99" customFormat="false" ht="15" hidden="false" customHeight="false" outlineLevel="0" collapsed="false">
      <c r="A99" s="5" t="s">
        <v>104</v>
      </c>
    </row>
    <row r="100" customFormat="false" ht="15" hidden="false" customHeight="false" outlineLevel="0" collapsed="false">
      <c r="A100" s="5" t="s">
        <v>105</v>
      </c>
    </row>
    <row r="101" customFormat="false" ht="15" hidden="false" customHeight="false" outlineLevel="0" collapsed="false">
      <c r="A101" s="5" t="s">
        <v>106</v>
      </c>
    </row>
  </sheetData>
  <conditionalFormatting sqref="G2:G95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11" min="2" style="0" width="14"/>
  </cols>
  <sheetData>
    <row r="1" customFormat="false" ht="45" hidden="false" customHeight="true" outlineLevel="0" collapsed="false">
      <c r="A1" s="1" t="s">
        <v>0</v>
      </c>
      <c r="B1" s="1" t="s">
        <v>107</v>
      </c>
      <c r="C1" s="1" t="s">
        <v>108</v>
      </c>
      <c r="D1" s="1" t="s">
        <v>109</v>
      </c>
      <c r="E1" s="1" t="s">
        <v>110</v>
      </c>
      <c r="F1" s="1" t="s">
        <v>111</v>
      </c>
      <c r="G1" s="1" t="s">
        <v>112</v>
      </c>
      <c r="H1" s="1" t="s">
        <v>4</v>
      </c>
      <c r="I1" s="1" t="s">
        <v>5</v>
      </c>
      <c r="J1" s="1" t="s">
        <v>6</v>
      </c>
      <c r="K1" s="1" t="s">
        <v>7</v>
      </c>
    </row>
    <row r="2" customFormat="false" ht="15" hidden="false" customHeight="false" outlineLevel="0" collapsed="false">
      <c r="A2" s="2" t="s">
        <v>60</v>
      </c>
      <c r="B2" s="3" t="n">
        <v>10484</v>
      </c>
      <c r="C2" s="3" t="n">
        <v>3729</v>
      </c>
      <c r="D2" s="3" t="n">
        <v>3508</v>
      </c>
      <c r="E2" s="3" t="n">
        <v>448</v>
      </c>
      <c r="F2" s="3" t="n">
        <v>1123</v>
      </c>
      <c r="G2" s="3" t="n">
        <v>226</v>
      </c>
      <c r="H2" s="3" t="n">
        <f aca="false">B2+D2+F2</f>
        <v>15115</v>
      </c>
      <c r="I2" s="3" t="n">
        <f aca="false">C2+E2+G2</f>
        <v>4403</v>
      </c>
      <c r="J2" s="4" t="n">
        <f aca="false">H2-I2</f>
        <v>10712</v>
      </c>
      <c r="K2" s="3" t="n">
        <f aca="false">J2</f>
        <v>10712</v>
      </c>
    </row>
    <row r="3" customFormat="false" ht="15" hidden="false" customHeight="false" outlineLevel="0" collapsed="false">
      <c r="A3" s="2" t="s">
        <v>61</v>
      </c>
      <c r="B3" s="3" t="n">
        <v>14622</v>
      </c>
      <c r="C3" s="3" t="n">
        <v>4886</v>
      </c>
      <c r="D3" s="3" t="n">
        <v>6287</v>
      </c>
      <c r="E3" s="3" t="n">
        <v>1117</v>
      </c>
      <c r="F3" s="3" t="n">
        <v>-2474</v>
      </c>
      <c r="G3" s="3" t="n">
        <v>227</v>
      </c>
      <c r="H3" s="3" t="n">
        <f aca="false">B3+D3+F3</f>
        <v>18435</v>
      </c>
      <c r="I3" s="3" t="n">
        <f aca="false">C3+E3+G3</f>
        <v>6230</v>
      </c>
      <c r="J3" s="4" t="n">
        <f aca="false">H3-I3</f>
        <v>12205</v>
      </c>
      <c r="K3" s="3" t="n">
        <f aca="false">K2+J3</f>
        <v>22917</v>
      </c>
    </row>
    <row r="4" customFormat="false" ht="15" hidden="false" customHeight="false" outlineLevel="0" collapsed="false">
      <c r="A4" s="2" t="s">
        <v>62</v>
      </c>
      <c r="B4" s="3" t="n">
        <v>13009</v>
      </c>
      <c r="C4" s="3" t="n">
        <v>3299</v>
      </c>
      <c r="D4" s="3" t="n">
        <v>2856</v>
      </c>
      <c r="E4" s="3" t="n">
        <v>897</v>
      </c>
      <c r="F4" s="3" t="n">
        <v>-2472</v>
      </c>
      <c r="G4" s="3" t="n">
        <v>227</v>
      </c>
      <c r="H4" s="3" t="n">
        <f aca="false">B4+D4+F4</f>
        <v>13393</v>
      </c>
      <c r="I4" s="3" t="n">
        <f aca="false">C4+E4+G4</f>
        <v>4423</v>
      </c>
      <c r="J4" s="4" t="n">
        <f aca="false">H4-I4</f>
        <v>8970</v>
      </c>
      <c r="K4" s="3" t="n">
        <f aca="false">K3+J4</f>
        <v>31887</v>
      </c>
    </row>
    <row r="5" customFormat="false" ht="15" hidden="false" customHeight="false" outlineLevel="0" collapsed="false">
      <c r="A5" s="2" t="s">
        <v>63</v>
      </c>
      <c r="B5" s="3" t="n">
        <v>20527</v>
      </c>
      <c r="C5" s="3" t="n">
        <v>4216</v>
      </c>
      <c r="D5" s="3" t="n">
        <v>6976</v>
      </c>
      <c r="E5" s="3" t="n">
        <v>895</v>
      </c>
      <c r="F5" s="3" t="n">
        <v>-2517</v>
      </c>
      <c r="G5" s="3" t="n">
        <v>227</v>
      </c>
      <c r="H5" s="3" t="n">
        <f aca="false">B5+D5+F5</f>
        <v>24986</v>
      </c>
      <c r="I5" s="3" t="n">
        <f aca="false">C5+E5+G5</f>
        <v>5338</v>
      </c>
      <c r="J5" s="4" t="n">
        <f aca="false">H5-I5</f>
        <v>19648</v>
      </c>
      <c r="K5" s="3" t="n">
        <f aca="false">K4+J5</f>
        <v>51535</v>
      </c>
    </row>
    <row r="6" customFormat="false" ht="15" hidden="false" customHeight="false" outlineLevel="0" collapsed="false">
      <c r="A6" s="2" t="s">
        <v>64</v>
      </c>
      <c r="B6" s="3" t="n">
        <v>20705</v>
      </c>
      <c r="C6" s="3" t="n">
        <v>3977</v>
      </c>
      <c r="D6" s="3" t="n">
        <v>4841</v>
      </c>
      <c r="E6" s="3" t="n">
        <v>1121</v>
      </c>
      <c r="F6" s="3" t="n">
        <v>-2456</v>
      </c>
      <c r="G6" s="3" t="n">
        <v>227</v>
      </c>
      <c r="H6" s="3" t="n">
        <f aca="false">B6+D6+F6</f>
        <v>23090</v>
      </c>
      <c r="I6" s="3" t="n">
        <f aca="false">C6+E6+G6</f>
        <v>5325</v>
      </c>
      <c r="J6" s="4" t="n">
        <f aca="false">H6-I6</f>
        <v>17765</v>
      </c>
      <c r="K6" s="3" t="n">
        <f aca="false">K5+J6</f>
        <v>69300</v>
      </c>
    </row>
    <row r="7" customFormat="false" ht="15" hidden="false" customHeight="false" outlineLevel="0" collapsed="false">
      <c r="A7" s="2" t="s">
        <v>65</v>
      </c>
      <c r="B7" s="3" t="n">
        <v>15939</v>
      </c>
      <c r="C7" s="3" t="n">
        <v>3977</v>
      </c>
      <c r="D7" s="3" t="n">
        <v>3164</v>
      </c>
      <c r="E7" s="3" t="n">
        <v>895</v>
      </c>
      <c r="F7" s="3" t="n">
        <v>-2068</v>
      </c>
      <c r="G7" s="3" t="n">
        <v>225</v>
      </c>
      <c r="H7" s="3" t="n">
        <f aca="false">B7+D7+F7</f>
        <v>17035</v>
      </c>
      <c r="I7" s="3" t="n">
        <f aca="false">C7+E7+G7</f>
        <v>5097</v>
      </c>
      <c r="J7" s="4" t="n">
        <f aca="false">H7-I7</f>
        <v>11938</v>
      </c>
      <c r="K7" s="3" t="n">
        <f aca="false">K6+J7</f>
        <v>81238</v>
      </c>
    </row>
    <row r="8" customFormat="false" ht="15" hidden="false" customHeight="false" outlineLevel="0" collapsed="false">
      <c r="A8" s="2" t="s">
        <v>66</v>
      </c>
      <c r="B8" s="3" t="n">
        <v>28298</v>
      </c>
      <c r="C8" s="3" t="n">
        <v>3731</v>
      </c>
      <c r="D8" s="3" t="n">
        <v>8322</v>
      </c>
      <c r="E8" s="3" t="n">
        <v>894</v>
      </c>
      <c r="F8" s="3" t="n">
        <v>1555</v>
      </c>
      <c r="G8" s="3" t="n">
        <v>225</v>
      </c>
      <c r="H8" s="3" t="n">
        <f aca="false">B8+D8+F8</f>
        <v>38175</v>
      </c>
      <c r="I8" s="3" t="n">
        <f aca="false">C8+E8+G8</f>
        <v>4850</v>
      </c>
      <c r="J8" s="4" t="n">
        <f aca="false">H8-I8</f>
        <v>33325</v>
      </c>
      <c r="K8" s="3" t="n">
        <f aca="false">K7+J8</f>
        <v>114563</v>
      </c>
    </row>
    <row r="9" customFormat="false" ht="15" hidden="false" customHeight="false" outlineLevel="0" collapsed="false">
      <c r="A9" s="2" t="s">
        <v>67</v>
      </c>
      <c r="B9" s="3" t="n">
        <v>7378</v>
      </c>
      <c r="C9" s="3" t="n">
        <v>3776</v>
      </c>
      <c r="D9" s="3" t="n">
        <v>9493</v>
      </c>
      <c r="E9" s="3" t="n">
        <v>1131</v>
      </c>
      <c r="F9" s="3" t="n">
        <v>-2503</v>
      </c>
      <c r="G9" s="3" t="n">
        <v>227</v>
      </c>
      <c r="H9" s="3" t="n">
        <f aca="false">B9+D9+F9</f>
        <v>14368</v>
      </c>
      <c r="I9" s="3" t="n">
        <f aca="false">C9+E9+G9</f>
        <v>5134</v>
      </c>
      <c r="J9" s="4" t="n">
        <f aca="false">H9-I9</f>
        <v>9234</v>
      </c>
      <c r="K9" s="3" t="n">
        <f aca="false">K8+J9</f>
        <v>123797</v>
      </c>
    </row>
    <row r="10" customFormat="false" ht="15" hidden="false" customHeight="false" outlineLevel="0" collapsed="false">
      <c r="A10" s="2" t="s">
        <v>68</v>
      </c>
      <c r="B10" s="3" t="n">
        <v>17012</v>
      </c>
      <c r="C10" s="3" t="n">
        <v>3344</v>
      </c>
      <c r="D10" s="3" t="n">
        <v>11115</v>
      </c>
      <c r="E10" s="3" t="n">
        <v>905</v>
      </c>
      <c r="F10" s="3" t="n">
        <v>-4218</v>
      </c>
      <c r="G10" s="3" t="n">
        <v>236</v>
      </c>
      <c r="H10" s="3" t="n">
        <f aca="false">B10+D10+F10</f>
        <v>23909</v>
      </c>
      <c r="I10" s="3" t="n">
        <f aca="false">C10+E10+G10</f>
        <v>4485</v>
      </c>
      <c r="J10" s="4" t="n">
        <f aca="false">H10-I10</f>
        <v>19424</v>
      </c>
      <c r="K10" s="3" t="n">
        <f aca="false">K9+J10</f>
        <v>143221</v>
      </c>
    </row>
    <row r="11" customFormat="false" ht="15" hidden="false" customHeight="false" outlineLevel="0" collapsed="false">
      <c r="A11" s="2" t="s">
        <v>69</v>
      </c>
      <c r="B11" s="3" t="n">
        <v>36236</v>
      </c>
      <c r="C11" s="3" t="n">
        <v>5097</v>
      </c>
      <c r="D11" s="3" t="n">
        <v>5072</v>
      </c>
      <c r="E11" s="3" t="n">
        <v>914</v>
      </c>
      <c r="F11" s="3" t="n">
        <v>-4381</v>
      </c>
      <c r="G11" s="3" t="n">
        <v>237</v>
      </c>
      <c r="H11" s="3" t="n">
        <f aca="false">B11+D11+F11</f>
        <v>36927</v>
      </c>
      <c r="I11" s="3" t="n">
        <f aca="false">C11+E11+G11</f>
        <v>6248</v>
      </c>
      <c r="J11" s="4" t="n">
        <f aca="false">H11-I11</f>
        <v>30679</v>
      </c>
      <c r="K11" s="3" t="n">
        <f aca="false">K10+J11</f>
        <v>173900</v>
      </c>
    </row>
    <row r="12" customFormat="false" ht="15" hidden="false" customHeight="false" outlineLevel="0" collapsed="false">
      <c r="A12" s="2" t="s">
        <v>70</v>
      </c>
      <c r="B12" s="3" t="n">
        <v>16649</v>
      </c>
      <c r="C12" s="3" t="n">
        <v>4280</v>
      </c>
      <c r="D12" s="3" t="n">
        <v>8330</v>
      </c>
      <c r="E12" s="3" t="n">
        <v>1136</v>
      </c>
      <c r="F12" s="3" t="n">
        <v>-3163</v>
      </c>
      <c r="G12" s="3" t="n">
        <v>231</v>
      </c>
      <c r="H12" s="3" t="n">
        <f aca="false">B12+D12+F12</f>
        <v>21816</v>
      </c>
      <c r="I12" s="3" t="n">
        <f aca="false">C12+E12+G12</f>
        <v>5647</v>
      </c>
      <c r="J12" s="4" t="n">
        <f aca="false">H12-I12</f>
        <v>16169</v>
      </c>
      <c r="K12" s="3" t="n">
        <f aca="false">K11+J12</f>
        <v>190069</v>
      </c>
    </row>
    <row r="13" customFormat="false" ht="15" hidden="false" customHeight="false" outlineLevel="0" collapsed="false">
      <c r="A13" s="2" t="s">
        <v>71</v>
      </c>
      <c r="B13" s="3" t="n">
        <v>-9812</v>
      </c>
      <c r="C13" s="3" t="n">
        <v>4276</v>
      </c>
      <c r="D13" s="3" t="n">
        <v>-774</v>
      </c>
      <c r="E13" s="3" t="n">
        <v>903</v>
      </c>
      <c r="F13" s="3" t="n">
        <v>-2773</v>
      </c>
      <c r="G13" s="3" t="n">
        <v>229</v>
      </c>
      <c r="H13" s="3" t="n">
        <f aca="false">B13+D13+F13</f>
        <v>-13359</v>
      </c>
      <c r="I13" s="3" t="n">
        <f aca="false">C13+E13+G13</f>
        <v>5408</v>
      </c>
      <c r="J13" s="4" t="n">
        <f aca="false">H13-I13</f>
        <v>-18767</v>
      </c>
      <c r="K13" s="3" t="n">
        <f aca="false">K12+J13</f>
        <v>171302</v>
      </c>
    </row>
    <row r="14" customFormat="false" ht="15" hidden="false" customHeight="false" outlineLevel="0" collapsed="false">
      <c r="A14" s="2" t="s">
        <v>72</v>
      </c>
      <c r="B14" s="3" t="n">
        <v>41967</v>
      </c>
      <c r="C14" s="3" t="n">
        <v>4313</v>
      </c>
      <c r="D14" s="3" t="n">
        <v>22745</v>
      </c>
      <c r="E14" s="3" t="n">
        <v>1159</v>
      </c>
      <c r="F14" s="3" t="n">
        <v>-3393</v>
      </c>
      <c r="G14" s="3" t="n">
        <v>232</v>
      </c>
      <c r="H14" s="3" t="n">
        <f aca="false">B14+D14+F14</f>
        <v>61319</v>
      </c>
      <c r="I14" s="3" t="n">
        <f aca="false">C14+E14+G14</f>
        <v>5704</v>
      </c>
      <c r="J14" s="4" t="n">
        <f aca="false">H14-I14</f>
        <v>55615</v>
      </c>
      <c r="K14" s="3" t="n">
        <f aca="false">K13+J14</f>
        <v>226917</v>
      </c>
    </row>
    <row r="15" customFormat="false" ht="15" hidden="false" customHeight="false" outlineLevel="0" collapsed="false">
      <c r="A15" s="2" t="s">
        <v>73</v>
      </c>
      <c r="B15" s="3" t="n">
        <v>53097</v>
      </c>
      <c r="C15" s="3" t="n">
        <v>3648</v>
      </c>
      <c r="D15" s="3" t="n">
        <v>5764</v>
      </c>
      <c r="E15" s="3" t="n">
        <v>915</v>
      </c>
      <c r="F15" s="3" t="n">
        <v>-3760</v>
      </c>
      <c r="G15" s="3" t="n">
        <v>234</v>
      </c>
      <c r="H15" s="3" t="n">
        <f aca="false">B15+D15+F15</f>
        <v>55101</v>
      </c>
      <c r="I15" s="3" t="n">
        <f aca="false">C15+E15+G15</f>
        <v>4797</v>
      </c>
      <c r="J15" s="4" t="n">
        <f aca="false">H15-I15</f>
        <v>50304</v>
      </c>
      <c r="K15" s="3" t="n">
        <f aca="false">K14+J15</f>
        <v>277221</v>
      </c>
    </row>
    <row r="16" customFormat="false" ht="15" hidden="false" customHeight="false" outlineLevel="0" collapsed="false">
      <c r="A16" s="2" t="s">
        <v>74</v>
      </c>
      <c r="B16" s="3" t="n">
        <v>24043</v>
      </c>
      <c r="C16" s="3" t="n">
        <v>3361</v>
      </c>
      <c r="D16" s="3" t="n">
        <v>9970</v>
      </c>
      <c r="E16" s="3" t="n">
        <v>912</v>
      </c>
      <c r="F16" s="3" t="n">
        <v>3861</v>
      </c>
      <c r="G16" s="3" t="n">
        <v>234</v>
      </c>
      <c r="H16" s="3" t="n">
        <f aca="false">B16+D16+F16</f>
        <v>37874</v>
      </c>
      <c r="I16" s="3" t="n">
        <f aca="false">C16+E16+G16</f>
        <v>4507</v>
      </c>
      <c r="J16" s="4" t="n">
        <f aca="false">H16-I16</f>
        <v>33367</v>
      </c>
      <c r="K16" s="3" t="n">
        <f aca="false">K15+J16</f>
        <v>310588</v>
      </c>
    </row>
    <row r="17" customFormat="false" ht="15" hidden="false" customHeight="false" outlineLevel="0" collapsed="false">
      <c r="A17" s="2" t="s">
        <v>75</v>
      </c>
      <c r="B17" s="3" t="n">
        <v>31443</v>
      </c>
      <c r="C17" s="3" t="n">
        <v>4320</v>
      </c>
      <c r="D17" s="3" t="n">
        <v>4497</v>
      </c>
      <c r="E17" s="3" t="n">
        <v>1148</v>
      </c>
      <c r="F17" s="3" t="n">
        <v>3240</v>
      </c>
      <c r="G17" s="3" t="n">
        <v>229</v>
      </c>
      <c r="H17" s="3" t="n">
        <f aca="false">B17+D17+F17</f>
        <v>39180</v>
      </c>
      <c r="I17" s="3" t="n">
        <f aca="false">C17+E17+G17</f>
        <v>5697</v>
      </c>
      <c r="J17" s="4" t="n">
        <f aca="false">H17-I17</f>
        <v>33483</v>
      </c>
      <c r="K17" s="3" t="n">
        <f aca="false">K16+J17</f>
        <v>344071</v>
      </c>
    </row>
    <row r="18" customFormat="false" ht="15" hidden="false" customHeight="false" outlineLevel="0" collapsed="false">
      <c r="A18" s="2" t="s">
        <v>76</v>
      </c>
      <c r="B18" s="3" t="n">
        <v>19397</v>
      </c>
      <c r="C18" s="3" t="n">
        <v>2864</v>
      </c>
      <c r="D18" s="3" t="n">
        <v>5432</v>
      </c>
      <c r="E18" s="3" t="n">
        <v>913</v>
      </c>
      <c r="F18" s="3" t="n">
        <v>6791</v>
      </c>
      <c r="G18" s="3" t="n">
        <v>230</v>
      </c>
      <c r="H18" s="3" t="n">
        <f aca="false">B18+D18+F18</f>
        <v>31620</v>
      </c>
      <c r="I18" s="3" t="n">
        <f aca="false">C18+E18+G18</f>
        <v>4007</v>
      </c>
      <c r="J18" s="4" t="n">
        <f aca="false">H18-I18</f>
        <v>27613</v>
      </c>
      <c r="K18" s="3" t="n">
        <f aca="false">K17+J18</f>
        <v>371684</v>
      </c>
    </row>
    <row r="19" customFormat="false" ht="15" hidden="false" customHeight="false" outlineLevel="0" collapsed="false">
      <c r="A19" s="2" t="s">
        <v>77</v>
      </c>
      <c r="B19" s="3" t="n">
        <v>57797</v>
      </c>
      <c r="C19" s="3" t="n">
        <v>4827</v>
      </c>
      <c r="D19" s="3" t="n">
        <v>6361</v>
      </c>
      <c r="E19" s="3" t="n">
        <v>914</v>
      </c>
      <c r="F19" s="3" t="n">
        <v>-3673</v>
      </c>
      <c r="G19" s="3" t="n">
        <v>233</v>
      </c>
      <c r="H19" s="3" t="n">
        <f aca="false">B19+D19+F19</f>
        <v>60485</v>
      </c>
      <c r="I19" s="3" t="n">
        <f aca="false">C19+E19+G19</f>
        <v>5974</v>
      </c>
      <c r="J19" s="4" t="n">
        <f aca="false">H19-I19</f>
        <v>54511</v>
      </c>
      <c r="K19" s="3" t="n">
        <f aca="false">K18+J19</f>
        <v>426195</v>
      </c>
    </row>
    <row r="20" customFormat="false" ht="15" hidden="false" customHeight="false" outlineLevel="0" collapsed="false">
      <c r="A20" s="2" t="s">
        <v>78</v>
      </c>
      <c r="B20" s="3" t="n">
        <v>49549</v>
      </c>
      <c r="C20" s="3" t="n">
        <v>3894</v>
      </c>
      <c r="D20" s="3" t="n">
        <v>-5031</v>
      </c>
      <c r="E20" s="3" t="n">
        <v>924</v>
      </c>
      <c r="F20" s="3" t="n">
        <v>-3339</v>
      </c>
      <c r="G20" s="3" t="n">
        <v>231</v>
      </c>
      <c r="H20" s="3" t="n">
        <f aca="false">B20+D20+F20</f>
        <v>41179</v>
      </c>
      <c r="I20" s="3" t="n">
        <f aca="false">C20+E20+G20</f>
        <v>5049</v>
      </c>
      <c r="J20" s="4" t="n">
        <f aca="false">H20-I20</f>
        <v>36130</v>
      </c>
      <c r="K20" s="3" t="n">
        <f aca="false">K19+J20</f>
        <v>462325</v>
      </c>
    </row>
    <row r="21" customFormat="false" ht="15" hidden="false" customHeight="false" outlineLevel="0" collapsed="false">
      <c r="A21" s="2" t="s">
        <v>79</v>
      </c>
      <c r="B21" s="3" t="n">
        <v>18214</v>
      </c>
      <c r="C21" s="3" t="n">
        <v>3636</v>
      </c>
      <c r="D21" s="3" t="n">
        <v>575</v>
      </c>
      <c r="E21" s="3" t="n">
        <v>918</v>
      </c>
      <c r="F21" s="3" t="n">
        <v>3817</v>
      </c>
      <c r="G21" s="3" t="n">
        <v>229</v>
      </c>
      <c r="H21" s="3" t="n">
        <f aca="false">B21+D21+F21</f>
        <v>22606</v>
      </c>
      <c r="I21" s="3" t="n">
        <f aca="false">C21+E21+G21</f>
        <v>4783</v>
      </c>
      <c r="J21" s="4" t="n">
        <f aca="false">H21-I21</f>
        <v>17823</v>
      </c>
      <c r="K21" s="3" t="n">
        <f aca="false">K20+J21</f>
        <v>480148</v>
      </c>
    </row>
    <row r="22" customFormat="false" ht="15" hidden="false" customHeight="false" outlineLevel="0" collapsed="false">
      <c r="A22" s="2" t="s">
        <v>80</v>
      </c>
      <c r="B22" s="3" t="n">
        <v>53354</v>
      </c>
      <c r="C22" s="3" t="n">
        <v>4090</v>
      </c>
      <c r="D22" s="3" t="n">
        <v>-3459</v>
      </c>
      <c r="E22" s="3" t="n">
        <v>1156</v>
      </c>
      <c r="F22" s="3" t="n">
        <v>11512</v>
      </c>
      <c r="G22" s="3" t="n">
        <v>242</v>
      </c>
      <c r="H22" s="3" t="n">
        <f aca="false">B22+D22+F22</f>
        <v>61407</v>
      </c>
      <c r="I22" s="3" t="n">
        <f aca="false">C22+E22+G22</f>
        <v>5488</v>
      </c>
      <c r="J22" s="4" t="n">
        <f aca="false">H22-I22</f>
        <v>55919</v>
      </c>
      <c r="K22" s="3" t="n">
        <f aca="false">K21+J22</f>
        <v>536067</v>
      </c>
    </row>
    <row r="23" customFormat="false" ht="15" hidden="false" customHeight="false" outlineLevel="0" collapsed="false">
      <c r="A23" s="2" t="s">
        <v>81</v>
      </c>
      <c r="B23" s="3" t="n">
        <v>34919</v>
      </c>
      <c r="C23" s="3" t="n">
        <v>3118</v>
      </c>
      <c r="D23" s="3" t="n">
        <v>5295</v>
      </c>
      <c r="E23" s="3" t="n">
        <v>916</v>
      </c>
      <c r="F23" s="3" t="n">
        <v>2812</v>
      </c>
      <c r="G23" s="3" t="n">
        <v>226</v>
      </c>
      <c r="H23" s="3" t="n">
        <f aca="false">B23+D23+F23</f>
        <v>43026</v>
      </c>
      <c r="I23" s="3" t="n">
        <f aca="false">C23+E23+G23</f>
        <v>4260</v>
      </c>
      <c r="J23" s="4" t="n">
        <f aca="false">H23-I23</f>
        <v>38766</v>
      </c>
      <c r="K23" s="3" t="n">
        <f aca="false">K22+J23</f>
        <v>574833</v>
      </c>
    </row>
    <row r="24" customFormat="false" ht="15" hidden="false" customHeight="false" outlineLevel="0" collapsed="false">
      <c r="A24" s="2" t="s">
        <v>82</v>
      </c>
      <c r="B24" s="3" t="n">
        <v>14823</v>
      </c>
      <c r="C24" s="3" t="n">
        <v>4286</v>
      </c>
      <c r="D24" s="3" t="n">
        <v>10131</v>
      </c>
      <c r="E24" s="3" t="n">
        <v>908</v>
      </c>
      <c r="F24" s="3" t="n">
        <v>4170</v>
      </c>
      <c r="G24" s="3" t="n">
        <v>237</v>
      </c>
      <c r="H24" s="3" t="n">
        <f aca="false">B24+D24+F24</f>
        <v>29124</v>
      </c>
      <c r="I24" s="3" t="n">
        <f aca="false">C24+E24+G24</f>
        <v>5431</v>
      </c>
      <c r="J24" s="4" t="n">
        <f aca="false">H24-I24</f>
        <v>23693</v>
      </c>
      <c r="K24" s="3" t="n">
        <f aca="false">K23+J24</f>
        <v>598526</v>
      </c>
    </row>
    <row r="25" customFormat="false" ht="15" hidden="false" customHeight="false" outlineLevel="0" collapsed="false">
      <c r="A25" s="2" t="s">
        <v>83</v>
      </c>
      <c r="B25" s="3" t="n">
        <v>71935</v>
      </c>
      <c r="C25" s="3" t="n">
        <v>5044</v>
      </c>
      <c r="D25" s="3" t="n">
        <v>12655</v>
      </c>
      <c r="E25" s="3" t="n">
        <v>1158</v>
      </c>
      <c r="F25" s="3" t="n">
        <v>2556</v>
      </c>
      <c r="G25" s="3" t="n">
        <v>227</v>
      </c>
      <c r="H25" s="3" t="n">
        <f aca="false">B25+D25+F25</f>
        <v>87146</v>
      </c>
      <c r="I25" s="3" t="n">
        <f aca="false">C25+E25+G25</f>
        <v>6429</v>
      </c>
      <c r="J25" s="4" t="n">
        <f aca="false">H25-I25</f>
        <v>80717</v>
      </c>
      <c r="K25" s="3" t="n">
        <f aca="false">K24+J25</f>
        <v>679243</v>
      </c>
    </row>
    <row r="26" customFormat="false" ht="15" hidden="false" customHeight="false" outlineLevel="0" collapsed="false">
      <c r="A26" s="2" t="s">
        <v>84</v>
      </c>
      <c r="B26" s="3" t="n">
        <v>29543</v>
      </c>
      <c r="C26" s="3" t="n">
        <v>3418</v>
      </c>
      <c r="D26" s="3" t="n">
        <v>4611</v>
      </c>
      <c r="E26" s="3" t="n">
        <v>934</v>
      </c>
      <c r="F26" s="3" t="n">
        <v>-5280</v>
      </c>
      <c r="G26" s="3" t="n">
        <v>241</v>
      </c>
      <c r="H26" s="3" t="n">
        <f aca="false">B26+D26+F26</f>
        <v>28874</v>
      </c>
      <c r="I26" s="3" t="n">
        <f aca="false">C26+E26+G26</f>
        <v>4593</v>
      </c>
      <c r="J26" s="4" t="n">
        <f aca="false">H26-I26</f>
        <v>24281</v>
      </c>
      <c r="K26" s="3" t="n">
        <f aca="false">K25+J26</f>
        <v>703524</v>
      </c>
    </row>
    <row r="27" customFormat="false" ht="15" hidden="false" customHeight="false" outlineLevel="0" collapsed="false">
      <c r="A27" s="2" t="s">
        <v>85</v>
      </c>
      <c r="B27" s="3" t="n">
        <v>20261</v>
      </c>
      <c r="C27" s="3" t="n">
        <v>3347</v>
      </c>
      <c r="D27" s="3" t="n">
        <v>7070</v>
      </c>
      <c r="E27" s="3" t="n">
        <v>921</v>
      </c>
      <c r="F27" s="3" t="n">
        <v>3028</v>
      </c>
      <c r="G27" s="3" t="n">
        <v>231</v>
      </c>
      <c r="H27" s="3" t="n">
        <f aca="false">B27+D27+F27</f>
        <v>30359</v>
      </c>
      <c r="I27" s="3" t="n">
        <f aca="false">C27+E27+G27</f>
        <v>4499</v>
      </c>
      <c r="J27" s="4" t="n">
        <f aca="false">H27-I27</f>
        <v>25860</v>
      </c>
      <c r="K27" s="3" t="n">
        <f aca="false">K26+J27</f>
        <v>729384</v>
      </c>
    </row>
    <row r="28" customFormat="false" ht="15" hidden="false" customHeight="false" outlineLevel="0" collapsed="false">
      <c r="A28" s="2" t="s">
        <v>86</v>
      </c>
      <c r="B28" s="3" t="n">
        <v>21164</v>
      </c>
      <c r="C28" s="3" t="n">
        <v>4029</v>
      </c>
      <c r="D28" s="3" t="n">
        <v>10706</v>
      </c>
      <c r="E28" s="3" t="n">
        <v>1135</v>
      </c>
      <c r="F28" s="3" t="n">
        <v>-2760</v>
      </c>
      <c r="G28" s="3" t="n">
        <v>228</v>
      </c>
      <c r="H28" s="3" t="n">
        <f aca="false">B28+D28+F28</f>
        <v>29110</v>
      </c>
      <c r="I28" s="3" t="n">
        <f aca="false">C28+E28+G28</f>
        <v>5392</v>
      </c>
      <c r="J28" s="4" t="n">
        <f aca="false">H28-I28</f>
        <v>23718</v>
      </c>
      <c r="K28" s="3" t="n">
        <f aca="false">K27+J28</f>
        <v>753102</v>
      </c>
    </row>
    <row r="29" customFormat="false" ht="15" hidden="false" customHeight="false" outlineLevel="0" collapsed="false">
      <c r="A29" s="2" t="s">
        <v>87</v>
      </c>
      <c r="B29" s="3" t="n">
        <v>-5813</v>
      </c>
      <c r="C29" s="3" t="n">
        <v>3580</v>
      </c>
      <c r="D29" s="3" t="n">
        <v>10541</v>
      </c>
      <c r="E29" s="3" t="n">
        <v>906</v>
      </c>
      <c r="F29" s="3" t="n">
        <v>2881</v>
      </c>
      <c r="G29" s="3" t="n">
        <v>234</v>
      </c>
      <c r="H29" s="3" t="n">
        <f aca="false">B29+D29+F29</f>
        <v>7609</v>
      </c>
      <c r="I29" s="3" t="n">
        <f aca="false">C29+E29+G29</f>
        <v>4720</v>
      </c>
      <c r="J29" s="4" t="n">
        <f aca="false">H29-I29</f>
        <v>2889</v>
      </c>
      <c r="K29" s="3" t="n">
        <f aca="false">K28+J29</f>
        <v>755991</v>
      </c>
    </row>
    <row r="30" customFormat="false" ht="15" hidden="false" customHeight="false" outlineLevel="0" collapsed="false">
      <c r="A30" s="2" t="s">
        <v>88</v>
      </c>
      <c r="B30" s="3" t="n">
        <v>14155</v>
      </c>
      <c r="C30" s="3" t="n">
        <v>4215</v>
      </c>
      <c r="D30" s="3" t="n">
        <v>7918</v>
      </c>
      <c r="E30" s="3" t="n">
        <v>901</v>
      </c>
      <c r="F30" s="3" t="n">
        <v>-2357</v>
      </c>
      <c r="G30" s="3" t="n">
        <v>226</v>
      </c>
      <c r="H30" s="3" t="n">
        <f aca="false">B30+D30+F30</f>
        <v>19716</v>
      </c>
      <c r="I30" s="3" t="n">
        <f aca="false">C30+E30+G30</f>
        <v>5342</v>
      </c>
      <c r="J30" s="4" t="n">
        <f aca="false">H30-I30</f>
        <v>14374</v>
      </c>
      <c r="K30" s="3" t="n">
        <f aca="false">K29+J30</f>
        <v>770365</v>
      </c>
    </row>
    <row r="31" customFormat="false" ht="15" hidden="false" customHeight="false" outlineLevel="0" collapsed="false">
      <c r="A31" s="2" t="s">
        <v>89</v>
      </c>
      <c r="B31" s="3" t="n">
        <v>9097</v>
      </c>
      <c r="C31" s="3" t="n">
        <v>3783</v>
      </c>
      <c r="D31" s="3" t="n">
        <v>5035</v>
      </c>
      <c r="E31" s="3" t="n">
        <v>1131</v>
      </c>
      <c r="F31" s="3" t="n">
        <v>-2651</v>
      </c>
      <c r="G31" s="3" t="n">
        <v>228</v>
      </c>
      <c r="H31" s="3" t="n">
        <f aca="false">B31+D31+F31</f>
        <v>11481</v>
      </c>
      <c r="I31" s="3" t="n">
        <f aca="false">C31+E31+G31</f>
        <v>5142</v>
      </c>
      <c r="J31" s="4" t="n">
        <f aca="false">H31-I31</f>
        <v>6339</v>
      </c>
      <c r="K31" s="3" t="n">
        <f aca="false">K30+J31</f>
        <v>776704</v>
      </c>
    </row>
    <row r="32" customFormat="false" ht="15" hidden="false" customHeight="false" outlineLevel="0" collapsed="false">
      <c r="A32" s="2" t="s">
        <v>90</v>
      </c>
      <c r="B32" s="3" t="n">
        <v>15736</v>
      </c>
      <c r="C32" s="3" t="n">
        <v>4033</v>
      </c>
      <c r="D32" s="3" t="n">
        <v>9969</v>
      </c>
      <c r="E32" s="3" t="n">
        <v>909</v>
      </c>
      <c r="F32" s="3" t="n">
        <v>-3359</v>
      </c>
      <c r="G32" s="3" t="n">
        <v>232</v>
      </c>
      <c r="H32" s="3" t="n">
        <f aca="false">B32+D32+F32</f>
        <v>22346</v>
      </c>
      <c r="I32" s="3" t="n">
        <f aca="false">C32+E32+G32</f>
        <v>5174</v>
      </c>
      <c r="J32" s="4" t="n">
        <f aca="false">H32-I32</f>
        <v>17172</v>
      </c>
      <c r="K32" s="3" t="n">
        <f aca="false">K31+J32</f>
        <v>793876</v>
      </c>
    </row>
    <row r="33" customFormat="false" ht="15" hidden="false" customHeight="false" outlineLevel="0" collapsed="false">
      <c r="A33" s="2" t="s">
        <v>91</v>
      </c>
      <c r="B33" s="3" t="n">
        <v>30979</v>
      </c>
      <c r="C33" s="3" t="n">
        <v>4732</v>
      </c>
      <c r="D33" s="3" t="n">
        <v>3630</v>
      </c>
      <c r="E33" s="3" t="n">
        <v>903</v>
      </c>
      <c r="F33" s="3" t="n">
        <v>-2371</v>
      </c>
      <c r="G33" s="3" t="n">
        <v>227</v>
      </c>
      <c r="H33" s="3" t="n">
        <f aca="false">B33+D33+F33</f>
        <v>32238</v>
      </c>
      <c r="I33" s="3" t="n">
        <f aca="false">C33+E33+G33</f>
        <v>5862</v>
      </c>
      <c r="J33" s="4" t="n">
        <f aca="false">H33-I33</f>
        <v>26376</v>
      </c>
      <c r="K33" s="3" t="n">
        <f aca="false">K32+J33</f>
        <v>820252</v>
      </c>
    </row>
    <row r="34" customFormat="false" ht="15" hidden="false" customHeight="false" outlineLevel="0" collapsed="false">
      <c r="A34" s="2" t="s">
        <v>92</v>
      </c>
      <c r="B34" s="3" t="n">
        <v>18395</v>
      </c>
      <c r="C34" s="3" t="n">
        <v>3805</v>
      </c>
      <c r="D34" s="3" t="n">
        <v>8097</v>
      </c>
      <c r="E34" s="3" t="n">
        <v>1134</v>
      </c>
      <c r="F34" s="3" t="n">
        <v>-4894</v>
      </c>
      <c r="G34" s="3" t="n">
        <v>239</v>
      </c>
      <c r="H34" s="3" t="n">
        <f aca="false">B34+D34+F34</f>
        <v>21598</v>
      </c>
      <c r="I34" s="3" t="n">
        <f aca="false">C34+E34+G34</f>
        <v>5178</v>
      </c>
      <c r="J34" s="4" t="n">
        <f aca="false">H34-I34</f>
        <v>16420</v>
      </c>
      <c r="K34" s="3" t="n">
        <f aca="false">K33+J34</f>
        <v>836672</v>
      </c>
    </row>
    <row r="35" customFormat="false" ht="15" hidden="false" customHeight="false" outlineLevel="0" collapsed="false">
      <c r="A35" s="2" t="s">
        <v>93</v>
      </c>
      <c r="B35" s="3" t="n">
        <v>72604</v>
      </c>
      <c r="C35" s="3" t="n">
        <v>3179</v>
      </c>
      <c r="D35" s="3" t="n">
        <v>9671</v>
      </c>
      <c r="E35" s="3" t="n">
        <v>909</v>
      </c>
      <c r="F35" s="3" t="n">
        <v>-3806</v>
      </c>
      <c r="G35" s="3" t="n">
        <v>234</v>
      </c>
      <c r="H35" s="3" t="n">
        <f aca="false">B35+D35+F35</f>
        <v>78469</v>
      </c>
      <c r="I35" s="3" t="n">
        <f aca="false">C35+E35+G35</f>
        <v>4322</v>
      </c>
      <c r="J35" s="4" t="n">
        <f aca="false">H35-I35</f>
        <v>74147</v>
      </c>
      <c r="K35" s="3" t="n">
        <f aca="false">K34+J35</f>
        <v>910819</v>
      </c>
    </row>
    <row r="36" customFormat="false" ht="15" hidden="false" customHeight="false" outlineLevel="0" collapsed="false">
      <c r="A36" s="2" t="s">
        <v>94</v>
      </c>
      <c r="B36" s="3" t="n">
        <v>40025</v>
      </c>
      <c r="C36" s="3" t="n">
        <v>4623</v>
      </c>
      <c r="D36" s="3" t="n">
        <v>-448</v>
      </c>
      <c r="E36" s="3" t="n">
        <v>945</v>
      </c>
      <c r="F36" s="3" t="n">
        <v>6639</v>
      </c>
      <c r="G36" s="3" t="n">
        <v>246</v>
      </c>
      <c r="H36" s="3" t="n">
        <f aca="false">B36+D36+F36</f>
        <v>46216</v>
      </c>
      <c r="I36" s="3" t="n">
        <f aca="false">C36+E36+G36</f>
        <v>5814</v>
      </c>
      <c r="J36" s="4" t="n">
        <f aca="false">H36-I36</f>
        <v>40402</v>
      </c>
      <c r="K36" s="3" t="n">
        <f aca="false">K35+J36</f>
        <v>951221</v>
      </c>
    </row>
    <row r="37" customFormat="false" ht="15" hidden="false" customHeight="false" outlineLevel="0" collapsed="false">
      <c r="A37" s="2" t="s">
        <v>95</v>
      </c>
      <c r="B37" s="3" t="n">
        <v>49442</v>
      </c>
      <c r="C37" s="3" t="n">
        <v>3719</v>
      </c>
      <c r="D37" s="3" t="n">
        <v>6026</v>
      </c>
      <c r="E37" s="3" t="n">
        <v>1170</v>
      </c>
      <c r="F37" s="3" t="n">
        <v>4045</v>
      </c>
      <c r="G37" s="3" t="n">
        <v>234</v>
      </c>
      <c r="H37" s="3" t="n">
        <f aca="false">B37+D37+F37</f>
        <v>59513</v>
      </c>
      <c r="I37" s="3" t="n">
        <f aca="false">C37+E37+G37</f>
        <v>5123</v>
      </c>
      <c r="J37" s="4" t="n">
        <f aca="false">H37-I37</f>
        <v>54390</v>
      </c>
      <c r="K37" s="3" t="n">
        <f aca="false">K36+J37</f>
        <v>1005611</v>
      </c>
    </row>
    <row r="38" customFormat="false" ht="15" hidden="false" customHeight="false" outlineLevel="0" collapsed="false">
      <c r="A38" s="2" t="s">
        <v>96</v>
      </c>
      <c r="B38" s="3" t="n">
        <v>9395</v>
      </c>
      <c r="C38" s="3" t="n">
        <v>3884</v>
      </c>
      <c r="D38" s="3" t="n">
        <v>-1152</v>
      </c>
      <c r="E38" s="3" t="n">
        <v>930</v>
      </c>
      <c r="F38" s="3" t="n">
        <v>4181</v>
      </c>
      <c r="G38" s="3" t="n">
        <v>235</v>
      </c>
      <c r="H38" s="3" t="n">
        <f aca="false">B38+D38+F38</f>
        <v>12424</v>
      </c>
      <c r="I38" s="3" t="n">
        <f aca="false">C38+E38+G38</f>
        <v>5049</v>
      </c>
      <c r="J38" s="4" t="n">
        <f aca="false">H38-I38</f>
        <v>7375</v>
      </c>
      <c r="K38" s="3" t="n">
        <f aca="false">K37+J38</f>
        <v>1012986</v>
      </c>
    </row>
    <row r="39" customFormat="false" ht="15" hidden="false" customHeight="false" outlineLevel="0" collapsed="false">
      <c r="A39" s="2" t="s">
        <v>97</v>
      </c>
      <c r="B39" s="3" t="n">
        <v>24484</v>
      </c>
      <c r="C39" s="3" t="n">
        <v>4534</v>
      </c>
      <c r="D39" s="3" t="n">
        <v>770</v>
      </c>
      <c r="E39" s="3" t="n">
        <v>916</v>
      </c>
      <c r="F39" s="3" t="n">
        <v>3770</v>
      </c>
      <c r="G39" s="3" t="n">
        <v>235</v>
      </c>
      <c r="H39" s="3" t="n">
        <f aca="false">B39+D39+F39</f>
        <v>29024</v>
      </c>
      <c r="I39" s="3" t="n">
        <f aca="false">C39+E39+G39</f>
        <v>5685</v>
      </c>
      <c r="J39" s="4" t="n">
        <f aca="false">H39-I39</f>
        <v>23339</v>
      </c>
      <c r="K39" s="3" t="n">
        <f aca="false">K38+J39</f>
        <v>1036325</v>
      </c>
    </row>
    <row r="40" customFormat="false" ht="15" hidden="false" customHeight="false" outlineLevel="0" collapsed="false">
      <c r="A40" s="2" t="s">
        <v>98</v>
      </c>
      <c r="B40" s="3" t="n">
        <v>25281</v>
      </c>
      <c r="C40" s="3" t="n">
        <v>2860</v>
      </c>
      <c r="D40" s="3" t="n">
        <v>-6814</v>
      </c>
      <c r="E40" s="3" t="n">
        <v>1143</v>
      </c>
      <c r="F40" s="3" t="n">
        <v>3592</v>
      </c>
      <c r="G40" s="3" t="n">
        <v>232</v>
      </c>
      <c r="H40" s="3" t="n">
        <f aca="false">B40+D40+F40</f>
        <v>22059</v>
      </c>
      <c r="I40" s="3" t="n">
        <f aca="false">C40+E40+G40</f>
        <v>4235</v>
      </c>
      <c r="J40" s="4" t="n">
        <f aca="false">H40-I40</f>
        <v>17824</v>
      </c>
      <c r="K40" s="3" t="n">
        <f aca="false">K39+J40</f>
        <v>1054149</v>
      </c>
    </row>
    <row r="41" customFormat="false" ht="15" hidden="false" customHeight="false" outlineLevel="0" collapsed="false">
      <c r="A41" s="2" t="s">
        <v>99</v>
      </c>
      <c r="B41" s="3" t="n">
        <v>32685</v>
      </c>
      <c r="C41" s="3" t="n">
        <v>3083</v>
      </c>
      <c r="D41" s="3" t="n">
        <v>3248</v>
      </c>
      <c r="E41" s="3" t="n">
        <v>904</v>
      </c>
      <c r="F41" s="3" t="n">
        <v>3181</v>
      </c>
      <c r="G41" s="3" t="n">
        <v>229</v>
      </c>
      <c r="H41" s="3" t="n">
        <f aca="false">B41+D41+F41</f>
        <v>39114</v>
      </c>
      <c r="I41" s="3" t="n">
        <f aca="false">C41+E41+G41</f>
        <v>4216</v>
      </c>
      <c r="J41" s="4" t="n">
        <f aca="false">H41-I41</f>
        <v>34898</v>
      </c>
      <c r="K41" s="3" t="n">
        <f aca="false">K40+J41</f>
        <v>1089047</v>
      </c>
    </row>
    <row r="42" customFormat="false" ht="15" hidden="false" customHeight="false" outlineLevel="0" collapsed="false">
      <c r="A42" s="2" t="s">
        <v>100</v>
      </c>
      <c r="B42" s="3" t="n">
        <v>13814</v>
      </c>
      <c r="C42" s="3" t="n">
        <v>4749</v>
      </c>
      <c r="D42" s="3" t="n">
        <v>6320</v>
      </c>
      <c r="E42" s="3" t="n">
        <v>902</v>
      </c>
      <c r="F42" s="3" t="n">
        <v>3369</v>
      </c>
      <c r="G42" s="3" t="n">
        <v>234</v>
      </c>
      <c r="H42" s="3" t="n">
        <f aca="false">B42+D42+F42</f>
        <v>23503</v>
      </c>
      <c r="I42" s="3" t="n">
        <f aca="false">C42+E42+G42</f>
        <v>5885</v>
      </c>
      <c r="J42" s="4" t="n">
        <f aca="false">H42-I42</f>
        <v>17618</v>
      </c>
      <c r="K42" s="3" t="n">
        <f aca="false">K41+J42</f>
        <v>1106665</v>
      </c>
    </row>
    <row r="43" customFormat="false" ht="15" hidden="false" customHeight="false" outlineLevel="0" collapsed="false">
      <c r="A43" s="2" t="s">
        <v>101</v>
      </c>
      <c r="B43" s="3" t="n">
        <v>18426</v>
      </c>
      <c r="C43" s="3" t="n">
        <v>2423</v>
      </c>
      <c r="D43" s="3" t="n">
        <v>7389</v>
      </c>
      <c r="E43" s="3" t="n">
        <v>681</v>
      </c>
      <c r="F43" s="3" t="n">
        <v>0</v>
      </c>
      <c r="G43" s="3" t="n">
        <v>0</v>
      </c>
      <c r="H43" s="3" t="n">
        <f aca="false">B43+D43+F43</f>
        <v>25815</v>
      </c>
      <c r="I43" s="3" t="n">
        <f aca="false">C43+E43+G43</f>
        <v>3104</v>
      </c>
      <c r="J43" s="4" t="n">
        <f aca="false">H43-I43</f>
        <v>22711</v>
      </c>
      <c r="K43" s="3" t="n">
        <f aca="false">K42+J43</f>
        <v>1129376</v>
      </c>
    </row>
    <row r="44" customFormat="false" ht="15" hidden="false" customHeight="false" outlineLevel="0" collapsed="false">
      <c r="A44" s="2" t="s">
        <v>102</v>
      </c>
      <c r="B44" s="4" t="n">
        <f aca="false">SUM(B2:B43)</f>
        <v>1101258</v>
      </c>
      <c r="C44" s="4" t="n">
        <f aca="false">SUM(C2:C43)</f>
        <v>163985</v>
      </c>
      <c r="D44" s="4" t="n">
        <f aca="false">SUM(D2:D43)</f>
        <v>236712</v>
      </c>
      <c r="E44" s="4" t="n">
        <f aca="false">SUM(E2:E43)</f>
        <v>40571</v>
      </c>
      <c r="F44" s="4" t="n">
        <f aca="false">SUM(F2:F43)</f>
        <v>5455</v>
      </c>
      <c r="G44" s="4" t="n">
        <f aca="false">SUM(G2:G43)</f>
        <v>9493</v>
      </c>
      <c r="H44" s="4" t="n">
        <f aca="false">SUM(H2:H43)</f>
        <v>1343425</v>
      </c>
      <c r="I44" s="4" t="n">
        <f aca="false">SUM(I2:I43)</f>
        <v>214049</v>
      </c>
      <c r="J44" s="4" t="n">
        <f aca="false">SUM(J2:J43)</f>
        <v>1129376</v>
      </c>
    </row>
    <row r="46" customFormat="false" ht="15" hidden="false" customHeight="false" outlineLevel="0" collapsed="false">
      <c r="A46" s="5" t="s">
        <v>113</v>
      </c>
    </row>
    <row r="47" customFormat="false" ht="15" hidden="false" customHeight="false" outlineLevel="0" collapsed="false">
      <c r="A47" s="5" t="s">
        <v>104</v>
      </c>
    </row>
    <row r="48" customFormat="false" ht="15" hidden="false" customHeight="false" outlineLevel="0" collapsed="false">
      <c r="A48" s="5" t="s">
        <v>105</v>
      </c>
    </row>
    <row r="49" customFormat="false" ht="15" hidden="false" customHeight="false" outlineLevel="0" collapsed="false">
      <c r="A49" s="5" t="s">
        <v>106</v>
      </c>
    </row>
  </sheetData>
  <conditionalFormatting sqref="J2:J43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16"/>
  </cols>
  <sheetData>
    <row r="1" customFormat="false" ht="39.55" hidden="false" customHeight="false" outlineLevel="0" collapsed="false">
      <c r="A1" s="1" t="s">
        <v>114</v>
      </c>
      <c r="B1" s="1" t="s">
        <v>107</v>
      </c>
      <c r="C1" s="1" t="s">
        <v>108</v>
      </c>
      <c r="D1" s="1" t="s">
        <v>115</v>
      </c>
      <c r="E1" s="1" t="s">
        <v>116</v>
      </c>
      <c r="F1" s="1" t="s">
        <v>117</v>
      </c>
      <c r="G1" s="1" t="s">
        <v>118</v>
      </c>
    </row>
    <row r="2" customFormat="false" ht="15" hidden="false" customHeight="false" outlineLevel="0" collapsed="false">
      <c r="A2" s="2" t="s">
        <v>119</v>
      </c>
      <c r="B2" s="3" t="n">
        <v>125093</v>
      </c>
      <c r="C2" s="3" t="n">
        <v>39226</v>
      </c>
      <c r="D2" s="3" t="n">
        <f aca="false">B2-C2</f>
        <v>85867</v>
      </c>
      <c r="E2" s="3"/>
      <c r="F2" s="3"/>
      <c r="G2" s="3"/>
    </row>
    <row r="3" customFormat="false" ht="15" hidden="false" customHeight="false" outlineLevel="0" collapsed="false">
      <c r="A3" s="2" t="s">
        <v>120</v>
      </c>
      <c r="B3" s="3" t="n">
        <v>198336</v>
      </c>
      <c r="C3" s="3" t="n">
        <v>45687</v>
      </c>
      <c r="D3" s="3" t="n">
        <f aca="false">B3-C3</f>
        <v>152649</v>
      </c>
      <c r="E3" s="3"/>
      <c r="F3" s="3"/>
      <c r="G3" s="3"/>
    </row>
    <row r="4" customFormat="false" ht="15" hidden="false" customHeight="false" outlineLevel="0" collapsed="false">
      <c r="A4" s="2" t="s">
        <v>121</v>
      </c>
      <c r="B4" s="3" t="n">
        <v>216265</v>
      </c>
      <c r="C4" s="3" t="n">
        <v>43317</v>
      </c>
      <c r="D4" s="3" t="n">
        <f aca="false">B4-C4</f>
        <v>172948</v>
      </c>
      <c r="E4" s="3"/>
      <c r="F4" s="3"/>
      <c r="G4" s="3"/>
    </row>
    <row r="5" customFormat="false" ht="15" hidden="false" customHeight="false" outlineLevel="0" collapsed="false">
      <c r="A5" s="2" t="s">
        <v>122</v>
      </c>
      <c r="B5" s="3" t="n">
        <v>231782</v>
      </c>
      <c r="C5" s="3" t="n">
        <v>42893</v>
      </c>
      <c r="D5" s="3" t="n">
        <f aca="false">B5-C5</f>
        <v>188889</v>
      </c>
      <c r="E5" s="3"/>
      <c r="F5" s="3"/>
      <c r="G5" s="3"/>
    </row>
    <row r="6" customFormat="false" ht="15" hidden="false" customHeight="false" outlineLevel="0" collapsed="false">
      <c r="A6" s="2" t="s">
        <v>123</v>
      </c>
      <c r="B6" s="3" t="n">
        <v>168473</v>
      </c>
      <c r="C6" s="3" t="n">
        <v>46664</v>
      </c>
      <c r="D6" s="3" t="n">
        <f aca="false">B6-C6</f>
        <v>121809</v>
      </c>
      <c r="E6" s="3" t="n">
        <v>164598</v>
      </c>
      <c r="F6" s="3" t="n">
        <v>40802</v>
      </c>
      <c r="G6" s="3" t="n">
        <f aca="false">E6-F6</f>
        <v>123796</v>
      </c>
    </row>
    <row r="7" customFormat="false" ht="15" hidden="false" customHeight="false" outlineLevel="0" collapsed="false">
      <c r="A7" s="2" t="s">
        <v>124</v>
      </c>
      <c r="B7" s="3" t="n">
        <v>355592</v>
      </c>
      <c r="C7" s="3" t="n">
        <v>47860</v>
      </c>
      <c r="D7" s="3" t="n">
        <f aca="false">B7-C7</f>
        <v>307732</v>
      </c>
      <c r="E7" s="3" t="n">
        <v>418657</v>
      </c>
      <c r="F7" s="3" t="n">
        <v>62305</v>
      </c>
      <c r="G7" s="3" t="n">
        <f aca="false">E7-F7</f>
        <v>356352</v>
      </c>
    </row>
    <row r="8" customFormat="false" ht="15" hidden="false" customHeight="false" outlineLevel="0" collapsed="false">
      <c r="A8" s="2" t="s">
        <v>125</v>
      </c>
      <c r="B8" s="3" t="n">
        <v>310154</v>
      </c>
      <c r="C8" s="3" t="n">
        <v>47675</v>
      </c>
      <c r="D8" s="3" t="n">
        <f aca="false">B8-C8</f>
        <v>262479</v>
      </c>
      <c r="E8" s="3" t="n">
        <v>402436</v>
      </c>
      <c r="F8" s="3" t="n">
        <v>62331</v>
      </c>
      <c r="G8" s="3" t="n">
        <f aca="false">E8-F8</f>
        <v>340105</v>
      </c>
    </row>
    <row r="9" customFormat="false" ht="15" hidden="false" customHeight="false" outlineLevel="0" collapsed="false">
      <c r="A9" s="2" t="s">
        <v>126</v>
      </c>
      <c r="B9" s="3" t="n">
        <v>304552</v>
      </c>
      <c r="C9" s="3" t="n">
        <v>36860</v>
      </c>
      <c r="D9" s="3" t="n">
        <f aca="false">B9-C9</f>
        <v>267692</v>
      </c>
      <c r="E9" s="3" t="n">
        <v>357738</v>
      </c>
      <c r="F9" s="3" t="n">
        <v>48612</v>
      </c>
      <c r="G9" s="3" t="n">
        <f aca="false">E9-F9</f>
        <v>309126</v>
      </c>
    </row>
    <row r="11" customFormat="false" ht="15" hidden="false" customHeight="false" outlineLevel="0" collapsed="false">
      <c r="A11" s="5" t="s">
        <v>127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2026-10-25T20:06:07Z</dcterms:created>
  <dc:creator>openpyxl</dc:creator>
  <dc:description/>
  <dc:language>en-US</dc:language>
  <cp:lastModifiedBy/>
  <dcterms:modified xsi:type="dcterms:W3CDTF">2026-10-25T20:06:07Z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
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thly" sheetId="1" state="visible" r:id="rId3"/>
    <sheet name="Yearl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<sst xmlns="http://schemas.openxmlformats.org/spreadsheetml/2006/main" count="70" uniqueCount="67">
  <si>
    <t xml:space="preserve">Month</t>
  </si>
  <si>
    <t xml:space="preserve">Nifty gross ₹</t>
  </si>
  <si>
    <t xml:space="preserve">Nifty net ₹</t>
  </si>
  <si>
    <t xml:space="preserve">Sensex gross ₹</t>
  </si>
  <si>
    <t xml:space="preserve">Sensex net ₹</t>
  </si>
  <si>
    <t xml:space="preserve">Total costs ₹</t>
  </si>
  <si>
    <t xml:space="preserve">Total net ₹ (after costs)</t>
  </si>
  <si>
    <t xml:space="preserve">Return on ₹7.5L</t>
  </si>
  <si>
    <t xml:space="preserve">Cumulative net ₹</t>
  </si>
  <si>
    <t xml:space="preserve">Capital ₹</t>
  </si>
  <si>
    <t xml:space="preserve">May 2023</t>
  </si>
  <si>
    <t xml:space="preserve">Jun 2023</t>
  </si>
  <si>
    <t xml:space="preserve">Jul 2023</t>
  </si>
  <si>
    <t xml:space="preserve">Aug 2023</t>
  </si>
  <si>
    <t xml:space="preserve">Sep 2023</t>
  </si>
  <si>
    <t xml:space="preserve">Oct 2023</t>
  </si>
  <si>
    <t xml:space="preserve">Nov 2023</t>
  </si>
  <si>
    <t xml:space="preserve">Dec 2023</t>
  </si>
  <si>
    <t xml:space="preserve">Jan 2024</t>
  </si>
  <si>
    <t xml:space="preserve">Feb 2024</t>
  </si>
  <si>
    <t xml:space="preserve">Mar 2024</t>
  </si>
  <si>
    <t xml:space="preserve">Apr 2024</t>
  </si>
  <si>
    <t xml:space="preserve">May 2024</t>
  </si>
  <si>
    <t xml:space="preserve">Jun 2024</t>
  </si>
  <si>
    <t xml:space="preserve">Jul 2024</t>
  </si>
  <si>
    <t xml:space="preserve">Aug 2024</t>
  </si>
  <si>
    <t xml:space="preserve">Sep 2024</t>
  </si>
  <si>
    <t xml:space="preserve">Oct 2024</t>
  </si>
  <si>
    <t xml:space="preserve">Nov 2024</t>
  </si>
  <si>
    <t xml:space="preserve">Dec 2024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</si>
  <si>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</si>
  <si>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</si>
  <si>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</si>
  <si>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</si>
  <si>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</si>
  <si>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</si>
  <si>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</si>
  <si>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</si>
  <si>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Sep 2025</t>
  </si>
  <si>
    <t xml:space="preserve">Oct 2025</t>
  </si>
  <si>
    <t xml:space="preserve">Nov 2025</t>
  </si>
  <si>
    <t xml:space="preserve">Dec 2025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</si>
  <si>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</si>
  <si>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</si>
  <si>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</si>
  <si>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</si>
  <si>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</si>
  <si>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</si>
  <si>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</si>
  <si>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</si>
  <si>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</si>
  <si>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</si>
  <si>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Total</t>
  </si>
  <si>
    <t xml:space="preserve">Nifty (Tuesday expiry): 3 lots at 9:22 / 9:35 / 10:05, 40% SL per leg, other leg SL to cost after one stop, one re-entry before 1 PM, exit 15:15. Lot 65.</t>
  </si>
  <si>
    <t xml:space="preserve">Sensex (Thursday expiry): 3 lots at 9:45 / 10:05 / 10:35, same rules. Lot 20. Period: 15 May 2023 - Oct 2026.</t>
  </si>
  <si>
    <t xml:space="preserve">Costs included: STT 0.1% sell, ~0.04%/side other charges, ₹40 brokerage per leg, slippage. Income tax not included (F&amp;O = business income at slab rate).</t>
  </si>
  <si>
    <t xml:space="preserve">Option prices are rebuilt (Nifty: calibrated to real 9:15 bhavcopy straddles; Sensex: India-VIX based with real Sensex daily ranges). Treat ₹ figures as estimates; real results are likely lower.</t>
  </si>
  <si>
    <t xml:space="preserve">Capital ₹7.5 lakh is reused: Tuesday and Thursday positions are both closed the same day. Return % is simple (not compounded). Edit L1 to change capital.</t>
  </si>
  <si>
    <t xml:space="preserve">Year</t>
  </si>
  <si>
    <t xml:space="preserve">Gross ₹</t>
  </si>
  <si>
    <t xml:space="preserve">Costs ₹</t>
  </si>
  <si>
    <t xml:space="preserve">Net ₹</t>
  </si>
  <si>
    <t xml:space="preserve">2023</t>
  </si>
  <si>
    <t xml:space="preserve">2024</t>
  </si>
  <si>
    <t xml:space="preserve">2025</t>
  </si>
  <si>
    <t xml:space="preserve">2026</t>
  </si>
  <si>
    <t xml:space="preserve">2023 = 15 May - Dec; 2026 = to 23 Oct (Nifty) / 19 Oct (Sensex).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</si>
</sst>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[RED]\-#,##0;\-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D7DA"/>
        </patternFill>
      </fill>
    </dxf>
    <dxf>
      <fill>
        <patternFill>
          <bgColor rgb="FFD4ED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9" min="2" style="0" width="14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9</v>
      </c>
      <c r="L1" s="3" t="n">
        <v>750000</v>
      </c>
    </row>
    <row r="2" customFormat="false" ht="15" hidden="false" customHeight="false" outlineLevel="0" collapsed="false">
      <c r="A2" s="2" t="s">
        <v>10</v>
      </c>
      <c r="B2" s="4" t="n">
        <v>-3453</v>
      </c>
      <c r="C2" s="4" t="n">
        <v>-4623</v>
      </c>
      <c r="D2" s="4" t="n">
        <v>4022</v>
      </c>
      <c r="E2" s="4" t="n">
        <v>2227</v>
      </c>
      <c r="F2" s="4" t="n">
        <f aca="false">(B2-C2)+(D2-E2)</f>
        <v>2965</v>
      </c>
      <c r="G2" s="4" t="n">
        <f aca="false">C2+E2</f>
        <v>-2396</v>
      </c>
      <c r="H2" s="5" t="n">
        <f aca="false">G2/$L$1</f>
        <v>-0.00319466666666667</v>
      </c>
      <c r="I2" s="4" t="n">
        <f aca="false">G2</f>
        <v>-2396</v>
      </c>
    </row>
    <row r="3" customFormat="false" ht="15" hidden="false" customHeight="false" outlineLevel="0" collapsed="false">
      <c r="A3" s="2" t="s">
        <v>11</v>
      </c>
      <c r="B3" s="4" t="n">
        <v>14622</v>
      </c>
      <c r="C3" s="4" t="n">
        <v>9736</v>
      </c>
      <c r="D3" s="4" t="n">
        <v>11334</v>
      </c>
      <c r="E3" s="4" t="n">
        <v>7090</v>
      </c>
      <c r="F3" s="4" t="n">
        <f aca="false">(B3-C3)+(D3-E3)</f>
        <v>9130</v>
      </c>
      <c r="G3" s="4" t="n">
        <f aca="false">C3+E3</f>
        <v>16826</v>
      </c>
      <c r="H3" s="5" t="n">
        <f aca="false">G3/$L$1</f>
        <v>0.0224346666666667</v>
      </c>
      <c r="I3" s="4" t="n">
        <f aca="false">I2+G3</f>
        <v>14430</v>
      </c>
    </row>
    <row r="4" customFormat="false" ht="15" hidden="false" customHeight="false" outlineLevel="0" collapsed="false">
      <c r="A4" s="2" t="s">
        <v>12</v>
      </c>
      <c r="B4" s="4" t="n">
        <v>13009</v>
      </c>
      <c r="C4" s="4" t="n">
        <v>9709</v>
      </c>
      <c r="D4" s="4" t="n">
        <v>10973</v>
      </c>
      <c r="E4" s="4" t="n">
        <v>7613</v>
      </c>
      <c r="F4" s="4" t="n">
        <f aca="false">(B4-C4)+(D4-E4)</f>
        <v>6660</v>
      </c>
      <c r="G4" s="4" t="n">
        <f aca="false">C4+E4</f>
        <v>17322</v>
      </c>
      <c r="H4" s="5" t="n">
        <f aca="false">G4/$L$1</f>
        <v>0.023096</v>
      </c>
      <c r="I4" s="4" t="n">
        <f aca="false">I3+G4</f>
        <v>31752</v>
      </c>
    </row>
    <row r="5" customFormat="false" ht="15" hidden="false" customHeight="false" outlineLevel="0" collapsed="false">
      <c r="A5" s="2" t="s">
        <v>13</v>
      </c>
      <c r="B5" s="4" t="n">
        <v>20527</v>
      </c>
      <c r="C5" s="4" t="n">
        <v>16311</v>
      </c>
      <c r="D5" s="4" t="n">
        <v>14916</v>
      </c>
      <c r="E5" s="4" t="n">
        <v>11780</v>
      </c>
      <c r="F5" s="4" t="n">
        <f aca="false">(B5-C5)+(D5-E5)</f>
        <v>7352</v>
      </c>
      <c r="G5" s="4" t="n">
        <f aca="false">C5+E5</f>
        <v>28091</v>
      </c>
      <c r="H5" s="5" t="n">
        <f aca="false">G5/$L$1</f>
        <v>0.0374546666666667</v>
      </c>
      <c r="I5" s="4" t="n">
        <f aca="false">I4+G5</f>
        <v>59843</v>
      </c>
    </row>
    <row r="6" customFormat="false" ht="15" hidden="false" customHeight="false" outlineLevel="0" collapsed="false">
      <c r="A6" s="2" t="s">
        <v>14</v>
      </c>
      <c r="B6" s="4" t="n">
        <v>20705</v>
      </c>
      <c r="C6" s="4" t="n">
        <v>16728</v>
      </c>
      <c r="D6" s="4" t="n">
        <v>12405</v>
      </c>
      <c r="E6" s="4" t="n">
        <v>8372</v>
      </c>
      <c r="F6" s="4" t="n">
        <f aca="false">(B6-C6)+(D6-E6)</f>
        <v>8010</v>
      </c>
      <c r="G6" s="4" t="n">
        <f aca="false">C6+E6</f>
        <v>25100</v>
      </c>
      <c r="H6" s="5" t="n">
        <f aca="false">G6/$L$1</f>
        <v>0.0334666666666667</v>
      </c>
      <c r="I6" s="4" t="n">
        <f aca="false">I5+G6</f>
        <v>84943</v>
      </c>
    </row>
    <row r="7" customFormat="false" ht="15" hidden="false" customHeight="false" outlineLevel="0" collapsed="false">
      <c r="A7" s="2" t="s">
        <v>15</v>
      </c>
      <c r="B7" s="4" t="n">
        <v>15939</v>
      </c>
      <c r="C7" s="4" t="n">
        <v>11962</v>
      </c>
      <c r="D7" s="4" t="n">
        <v>15271</v>
      </c>
      <c r="E7" s="4" t="n">
        <v>11919</v>
      </c>
      <c r="F7" s="4" t="n">
        <f aca="false">(B7-C7)+(D7-E7)</f>
        <v>7329</v>
      </c>
      <c r="G7" s="4" t="n">
        <f aca="false">C7+E7</f>
        <v>23881</v>
      </c>
      <c r="H7" s="5" t="n">
        <f aca="false">G7/$L$1</f>
        <v>0.0318413333333333</v>
      </c>
      <c r="I7" s="4" t="n">
        <f aca="false">I6+G7</f>
        <v>108824</v>
      </c>
    </row>
    <row r="8" customFormat="false" ht="15" hidden="false" customHeight="false" outlineLevel="0" collapsed="false">
      <c r="A8" s="2" t="s">
        <v>16</v>
      </c>
      <c r="B8" s="4" t="n">
        <v>28298</v>
      </c>
      <c r="C8" s="4" t="n">
        <v>24566</v>
      </c>
      <c r="D8" s="4" t="n">
        <v>29240</v>
      </c>
      <c r="E8" s="4" t="n">
        <v>26561</v>
      </c>
      <c r="F8" s="4" t="n">
        <f aca="false">(B8-C8)+(D8-E8)</f>
        <v>6411</v>
      </c>
      <c r="G8" s="4" t="n">
        <f aca="false">C8+E8</f>
        <v>51127</v>
      </c>
      <c r="H8" s="5" t="n">
        <f aca="false">G8/$L$1</f>
        <v>0.0681693333333333</v>
      </c>
      <c r="I8" s="4" t="n">
        <f aca="false">I7+G8</f>
        <v>159951</v>
      </c>
    </row>
    <row r="9" customFormat="false" ht="15" hidden="false" customHeight="false" outlineLevel="0" collapsed="false">
      <c r="A9" s="2" t="s">
        <v>17</v>
      </c>
      <c r="B9" s="4" t="n">
        <v>7378</v>
      </c>
      <c r="C9" s="4" t="n">
        <v>3602</v>
      </c>
      <c r="D9" s="4" t="n">
        <v>27886</v>
      </c>
      <c r="E9" s="4" t="n">
        <v>24269</v>
      </c>
      <c r="F9" s="4" t="n">
        <f aca="false">(B9-C9)+(D9-E9)</f>
        <v>7393</v>
      </c>
      <c r="G9" s="4" t="n">
        <f aca="false">C9+E9</f>
        <v>27871</v>
      </c>
      <c r="H9" s="5" t="n">
        <f aca="false">G9/$L$1</f>
        <v>0.0371613333333333</v>
      </c>
      <c r="I9" s="4" t="n">
        <f aca="false">I8+G9</f>
        <v>187822</v>
      </c>
    </row>
    <row r="10" customFormat="false" ht="15" hidden="false" customHeight="false" outlineLevel="0" collapsed="false">
      <c r="A10" s="2" t="s">
        <v>18</v>
      </c>
      <c r="B10" s="4" t="n">
        <v>17012</v>
      </c>
      <c r="C10" s="4" t="n">
        <v>13668</v>
      </c>
      <c r="D10" s="4" t="n">
        <v>20228</v>
      </c>
      <c r="E10" s="4" t="n">
        <v>17281</v>
      </c>
      <c r="F10" s="4" t="n">
        <f aca="false">(B10-C10)+(D10-E10)</f>
        <v>6291</v>
      </c>
      <c r="G10" s="4" t="n">
        <f aca="false">C10+E10</f>
        <v>30949</v>
      </c>
      <c r="H10" s="5" t="n">
        <f aca="false">G10/$L$1</f>
        <v>0.0412653333333333</v>
      </c>
      <c r="I10" s="4" t="n">
        <f aca="false">I9+G10</f>
        <v>218771</v>
      </c>
    </row>
    <row r="11" customFormat="false" ht="15" hidden="false" customHeight="false" outlineLevel="0" collapsed="false">
      <c r="A11" s="2" t="s">
        <v>19</v>
      </c>
      <c r="B11" s="4" t="n">
        <v>36236</v>
      </c>
      <c r="C11" s="4" t="n">
        <v>31139</v>
      </c>
      <c r="D11" s="4" t="n">
        <v>22474</v>
      </c>
      <c r="E11" s="4" t="n">
        <v>18607</v>
      </c>
      <c r="F11" s="4" t="n">
        <f aca="false">(B11-C11)+(D11-E11)</f>
        <v>8964</v>
      </c>
      <c r="G11" s="4" t="n">
        <f aca="false">C11+E11</f>
        <v>49746</v>
      </c>
      <c r="H11" s="5" t="n">
        <f aca="false">G11/$L$1</f>
        <v>0.066328</v>
      </c>
      <c r="I11" s="4" t="n">
        <f aca="false">I10+G11</f>
        <v>268517</v>
      </c>
    </row>
    <row r="12" customFormat="false" ht="15" hidden="false" customHeight="false" outlineLevel="0" collapsed="false">
      <c r="A12" s="2" t="s">
        <v>20</v>
      </c>
      <c r="B12" s="4" t="n">
        <v>16649</v>
      </c>
      <c r="C12" s="4" t="n">
        <v>12370</v>
      </c>
      <c r="D12" s="4" t="n">
        <v>33738</v>
      </c>
      <c r="E12" s="4" t="n">
        <v>29880</v>
      </c>
      <c r="F12" s="4" t="n">
        <f aca="false">(B12-C12)+(D12-E12)</f>
        <v>8137</v>
      </c>
      <c r="G12" s="4" t="n">
        <f aca="false">C12+E12</f>
        <v>42250</v>
      </c>
      <c r="H12" s="5" t="n">
        <f aca="false">G12/$L$1</f>
        <v>0.0563333333333333</v>
      </c>
      <c r="I12" s="4" t="n">
        <f aca="false">I11+G12</f>
        <v>310767</v>
      </c>
    </row>
    <row r="13" customFormat="false" ht="15" hidden="false" customHeight="false" outlineLevel="0" collapsed="false">
      <c r="A13" s="2" t="s">
        <v>21</v>
      </c>
      <c r="B13" s="4" t="n">
        <v>-9812</v>
      </c>
      <c r="C13" s="4" t="n">
        <v>-14088</v>
      </c>
      <c r="D13" s="4" t="n">
        <v>9137</v>
      </c>
      <c r="E13" s="4" t="n">
        <v>5087</v>
      </c>
      <c r="F13" s="4" t="n">
        <f aca="false">(B13-C13)+(D13-E13)</f>
        <v>8326</v>
      </c>
      <c r="G13" s="4" t="n">
        <f aca="false">C13+E13</f>
        <v>-9001</v>
      </c>
      <c r="H13" s="5" t="n">
        <f aca="false">G13/$L$1</f>
        <v>-0.0120013333333333</v>
      </c>
      <c r="I13" s="4" t="n">
        <f aca="false">I12+G13</f>
        <v>301766</v>
      </c>
    </row>
    <row r="14" customFormat="false" ht="15" hidden="false" customHeight="false" outlineLevel="0" collapsed="false">
      <c r="A14" s="2" t="s">
        <v>22</v>
      </c>
      <c r="B14" s="4" t="n">
        <v>41967</v>
      </c>
      <c r="C14" s="4" t="n">
        <v>37654</v>
      </c>
      <c r="D14" s="4" t="n">
        <v>84402</v>
      </c>
      <c r="E14" s="4" t="n">
        <v>80933</v>
      </c>
      <c r="F14" s="4" t="n">
        <f aca="false">(B14-C14)+(D14-E14)</f>
        <v>7782</v>
      </c>
      <c r="G14" s="4" t="n">
        <f aca="false">C14+E14</f>
        <v>118587</v>
      </c>
      <c r="H14" s="5" t="n">
        <f aca="false">G14/$L$1</f>
        <v>0.158116</v>
      </c>
      <c r="I14" s="4" t="n">
        <f aca="false">I13+G14</f>
        <v>420353</v>
      </c>
    </row>
    <row r="15" customFormat="false" ht="15" hidden="false" customHeight="false" outlineLevel="0" collapsed="false">
      <c r="A15" s="2" t="s">
        <v>23</v>
      </c>
      <c r="B15" s="4" t="n">
        <v>53097</v>
      </c>
      <c r="C15" s="4" t="n">
        <v>49449</v>
      </c>
      <c r="D15" s="4" t="n">
        <v>31767</v>
      </c>
      <c r="E15" s="4" t="n">
        <v>28798</v>
      </c>
      <c r="F15" s="4" t="n">
        <f aca="false">(B15-C15)+(D15-E15)</f>
        <v>6617</v>
      </c>
      <c r="G15" s="4" t="n">
        <f aca="false">C15+E15</f>
        <v>78247</v>
      </c>
      <c r="H15" s="5" t="n">
        <f aca="false">G15/$L$1</f>
        <v>0.104329333333333</v>
      </c>
      <c r="I15" s="4" t="n">
        <f aca="false">I14+G15</f>
        <v>498600</v>
      </c>
    </row>
    <row r="16" customFormat="false" ht="15" hidden="false" customHeight="false" outlineLevel="0" collapsed="false">
      <c r="A16" s="2" t="s">
        <v>24</v>
      </c>
      <c r="B16" s="4" t="n">
        <v>24043</v>
      </c>
      <c r="C16" s="4" t="n">
        <v>20682</v>
      </c>
      <c r="D16" s="4" t="n">
        <v>18872</v>
      </c>
      <c r="E16" s="4" t="n">
        <v>15677</v>
      </c>
      <c r="F16" s="4" t="n">
        <f aca="false">(B16-C16)+(D16-E16)</f>
        <v>6556</v>
      </c>
      <c r="G16" s="4" t="n">
        <f aca="false">C16+E16</f>
        <v>36359</v>
      </c>
      <c r="H16" s="5" t="n">
        <f aca="false">G16/$L$1</f>
        <v>0.0484786666666667</v>
      </c>
      <c r="I16" s="4" t="n">
        <f aca="false">I15+G16</f>
        <v>534959</v>
      </c>
    </row>
    <row r="17" customFormat="false" ht="15" hidden="false" customHeight="false" outlineLevel="0" collapsed="false">
      <c r="A17" s="2" t="s">
        <v>25</v>
      </c>
      <c r="B17" s="4" t="n">
        <v>31443</v>
      </c>
      <c r="C17" s="4" t="n">
        <v>27122</v>
      </c>
      <c r="D17" s="4" t="n">
        <v>45980</v>
      </c>
      <c r="E17" s="4" t="n">
        <v>42095</v>
      </c>
      <c r="F17" s="4" t="n">
        <f aca="false">(B17-C17)+(D17-E17)</f>
        <v>8206</v>
      </c>
      <c r="G17" s="4" t="n">
        <f aca="false">C17+E17</f>
        <v>69217</v>
      </c>
      <c r="H17" s="5" t="n">
        <f aca="false">G17/$L$1</f>
        <v>0.0922893333333333</v>
      </c>
      <c r="I17" s="4" t="n">
        <f aca="false">I16+G17</f>
        <v>604176</v>
      </c>
    </row>
    <row r="18" customFormat="false" ht="15" hidden="false" customHeight="false" outlineLevel="0" collapsed="false">
      <c r="A18" s="2" t="s">
        <v>26</v>
      </c>
      <c r="B18" s="4" t="n">
        <v>19397</v>
      </c>
      <c r="C18" s="4" t="n">
        <v>16533</v>
      </c>
      <c r="D18" s="4" t="n">
        <v>29288</v>
      </c>
      <c r="E18" s="4" t="n">
        <v>26327</v>
      </c>
      <c r="F18" s="4" t="n">
        <f aca="false">(B18-C18)+(D18-E18)</f>
        <v>5825</v>
      </c>
      <c r="G18" s="4" t="n">
        <f aca="false">C18+E18</f>
        <v>42860</v>
      </c>
      <c r="H18" s="5" t="n">
        <f aca="false">G18/$L$1</f>
        <v>0.0571466666666667</v>
      </c>
      <c r="I18" s="4" t="n">
        <f aca="false">I17+G18</f>
        <v>647036</v>
      </c>
    </row>
    <row r="19" customFormat="false" ht="15" hidden="false" customHeight="false" outlineLevel="0" collapsed="false">
      <c r="A19" s="2" t="s">
        <v>27</v>
      </c>
      <c r="B19" s="4" t="n">
        <v>57797</v>
      </c>
      <c r="C19" s="4" t="n">
        <v>52971</v>
      </c>
      <c r="D19" s="4" t="n">
        <v>9663</v>
      </c>
      <c r="E19" s="4" t="n">
        <v>5554</v>
      </c>
      <c r="F19" s="4" t="n">
        <f aca="false">(B19-C19)+(D19-E19)</f>
        <v>8935</v>
      </c>
      <c r="G19" s="4" t="n">
        <f aca="false">C19+E19</f>
        <v>58525</v>
      </c>
      <c r="H19" s="5" t="n">
        <f aca="false">G19/$L$1</f>
        <v>0.0780333333333333</v>
      </c>
      <c r="I19" s="4" t="n">
        <f aca="false">I18+G19</f>
        <v>705561</v>
      </c>
    </row>
    <row r="20" customFormat="false" ht="15" hidden="false" customHeight="false" outlineLevel="0" collapsed="false">
      <c r="A20" s="2" t="s">
        <v>28</v>
      </c>
      <c r="B20" s="4" t="n">
        <v>49549</v>
      </c>
      <c r="C20" s="4" t="n">
        <v>45655</v>
      </c>
      <c r="D20" s="4" t="n">
        <v>17385</v>
      </c>
      <c r="E20" s="4" t="n">
        <v>13018</v>
      </c>
      <c r="F20" s="4" t="n">
        <f aca="false">(B20-C20)+(D20-E20)</f>
        <v>8261</v>
      </c>
      <c r="G20" s="4" t="n">
        <f aca="false">C20+E20</f>
        <v>58673</v>
      </c>
      <c r="H20" s="5" t="n">
        <f aca="false">G20/$L$1</f>
        <v>0.0782306666666667</v>
      </c>
      <c r="I20" s="4" t="n">
        <f aca="false">I19+G20</f>
        <v>764234</v>
      </c>
    </row>
    <row r="21" customFormat="false" ht="15" hidden="false" customHeight="false" outlineLevel="0" collapsed="false">
      <c r="A21" s="2" t="s">
        <v>29</v>
      </c>
      <c r="B21" s="4" t="n">
        <v>18214</v>
      </c>
      <c r="C21" s="4" t="n">
        <v>14577</v>
      </c>
      <c r="D21" s="4" t="n">
        <v>13125</v>
      </c>
      <c r="E21" s="4" t="n">
        <v>8787</v>
      </c>
      <c r="F21" s="4" t="n">
        <f aca="false">(B21-C21)+(D21-E21)</f>
        <v>7975</v>
      </c>
      <c r="G21" s="4" t="n">
        <f aca="false">C21+E21</f>
        <v>23364</v>
      </c>
      <c r="H21" s="5" t="n">
        <f aca="false">G21/$L$1</f>
        <v>0.031152</v>
      </c>
      <c r="I21" s="4" t="n">
        <f aca="false">I20+G21</f>
        <v>787598</v>
      </c>
    </row>
    <row r="22" customFormat="false" ht="15" hidden="false" customHeight="false" outlineLevel="0" collapsed="false">
      <c r="A22" s="2" t="s">
        <v>30</v>
      </c>
      <c r="B22" s="4" t="n">
        <v>53354</v>
      </c>
      <c r="C22" s="4" t="n">
        <v>49264</v>
      </c>
      <c r="D22" s="4" t="n">
        <v>4245</v>
      </c>
      <c r="E22" s="4" t="n">
        <v>-355</v>
      </c>
      <c r="F22" s="4" t="n">
        <f aca="false">(B22-C22)+(D22-E22)</f>
        <v>8690</v>
      </c>
      <c r="G22" s="4" t="n">
        <f aca="false">C22+E22</f>
        <v>48909</v>
      </c>
      <c r="H22" s="5" t="n">
        <f aca="false">G22/$L$1</f>
        <v>0.065212</v>
      </c>
      <c r="I22" s="4" t="n">
        <f aca="false">I21+G22</f>
        <v>836507</v>
      </c>
    </row>
    <row r="23" customFormat="false" ht="15" hidden="false" customHeight="false" outlineLevel="0" collapsed="false">
      <c r="A23" s="2" t="s">
        <v>31</v>
      </c>
      <c r="B23" s="4" t="n">
        <v>34919</v>
      </c>
      <c r="C23" s="4" t="n">
        <v>31801</v>
      </c>
      <c r="D23" s="4" t="n">
        <v>18943</v>
      </c>
      <c r="E23" s="4" t="n">
        <v>15289</v>
      </c>
      <c r="F23" s="4" t="n">
        <f aca="false">(B23-C23)+(D23-E23)</f>
        <v>6772</v>
      </c>
      <c r="G23" s="4" t="n">
        <f aca="false">C23+E23</f>
        <v>47090</v>
      </c>
      <c r="H23" s="5" t="n">
        <f aca="false">G23/$L$1</f>
        <v>0.0627866666666667</v>
      </c>
      <c r="I23" s="4" t="n">
        <f aca="false">I22+G23</f>
        <v>883597</v>
      </c>
    </row>
    <row r="24" customFormat="false" ht="15" hidden="false" customHeight="false" outlineLevel="0" collapsed="false">
      <c r="A24" s="2" t="s">
        <v>32</v>
      </c>
      <c r="B24" s="4" t="n">
        <v>14823</v>
      </c>
      <c r="C24" s="4" t="n">
        <v>10536</v>
      </c>
      <c r="D24" s="4" t="n">
        <v>24182</v>
      </c>
      <c r="E24" s="4" t="n">
        <v>21226</v>
      </c>
      <c r="F24" s="4" t="n">
        <f aca="false">(B24-C24)+(D24-E24)</f>
        <v>7243</v>
      </c>
      <c r="G24" s="4" t="n">
        <f aca="false">C24+E24</f>
        <v>31762</v>
      </c>
      <c r="H24" s="5" t="n">
        <f aca="false">G24/$L$1</f>
        <v>0.0423493333333333</v>
      </c>
      <c r="I24" s="4" t="n">
        <f aca="false">I23+G24</f>
        <v>915359</v>
      </c>
    </row>
    <row r="25" customFormat="false" ht="15" hidden="false" customHeight="false" outlineLevel="0" collapsed="false">
      <c r="A25" s="2" t="s">
        <v>33</v>
      </c>
      <c r="B25" s="4" t="n">
        <v>71935</v>
      </c>
      <c r="C25" s="4" t="n">
        <v>66891</v>
      </c>
      <c r="D25" s="4" t="n">
        <v>47455</v>
      </c>
      <c r="E25" s="4" t="n">
        <v>42827</v>
      </c>
      <c r="F25" s="4" t="n">
        <f aca="false">(B25-C25)+(D25-E25)</f>
        <v>9672</v>
      </c>
      <c r="G25" s="4" t="n">
        <f aca="false">C25+E25</f>
        <v>109718</v>
      </c>
      <c r="H25" s="5" t="n">
        <f aca="false">G25/$L$1</f>
        <v>0.146290666666667</v>
      </c>
      <c r="I25" s="4" t="n">
        <f aca="false">I24+G25</f>
        <v>1025077</v>
      </c>
    </row>
    <row r="26" customFormat="false" ht="15" hidden="false" customHeight="false" outlineLevel="0" collapsed="false">
      <c r="A26" s="2" t="s">
        <v>34</v>
      </c>
      <c r="B26" s="4" t="n">
        <v>29543</v>
      </c>
      <c r="C26" s="4" t="n">
        <v>26125</v>
      </c>
      <c r="D26" s="4" t="n">
        <v>12739</v>
      </c>
      <c r="E26" s="4" t="n">
        <v>8548</v>
      </c>
      <c r="F26" s="4" t="n">
        <f aca="false">(B26-C26)+(D26-E26)</f>
        <v>7609</v>
      </c>
      <c r="G26" s="4" t="n">
        <f aca="false">C26+E26</f>
        <v>34673</v>
      </c>
      <c r="H26" s="5" t="n">
        <f aca="false">G26/$L$1</f>
        <v>0.0462306666666667</v>
      </c>
      <c r="I26" s="4" t="n">
        <f aca="false">I25+G26</f>
        <v>1059750</v>
      </c>
    </row>
    <row r="27" customFormat="false" ht="15" hidden="false" customHeight="false" outlineLevel="0" collapsed="false">
      <c r="A27" s="2" t="s">
        <v>35</v>
      </c>
      <c r="B27" s="4" t="n">
        <v>20261</v>
      </c>
      <c r="C27" s="4" t="n">
        <v>16914</v>
      </c>
      <c r="D27" s="4" t="n">
        <v>22091</v>
      </c>
      <c r="E27" s="4" t="n">
        <v>18177</v>
      </c>
      <c r="F27" s="4" t="n">
        <f aca="false">(B27-C27)+(D27-E27)</f>
        <v>7261</v>
      </c>
      <c r="G27" s="4" t="n">
        <f aca="false">C27+E27</f>
        <v>35091</v>
      </c>
      <c r="H27" s="5" t="n">
        <f aca="false">G27/$L$1</f>
        <v>0.046788</v>
      </c>
      <c r="I27" s="4" t="n">
        <f aca="false">I26+G27</f>
        <v>1094841</v>
      </c>
    </row>
    <row r="28" customFormat="false" ht="15" hidden="false" customHeight="false" outlineLevel="0" collapsed="false">
      <c r="A28" s="2" t="s">
        <v>36</v>
      </c>
      <c r="B28" s="4" t="n">
        <v>21164</v>
      </c>
      <c r="C28" s="4" t="n">
        <v>17135</v>
      </c>
      <c r="D28" s="4" t="n">
        <v>32186</v>
      </c>
      <c r="E28" s="4" t="n">
        <v>28784</v>
      </c>
      <c r="F28" s="4" t="n">
        <f aca="false">(B28-C28)+(D28-E28)</f>
        <v>7431</v>
      </c>
      <c r="G28" s="4" t="n">
        <f aca="false">C28+E28</f>
        <v>45919</v>
      </c>
      <c r="H28" s="5" t="n">
        <f aca="false">G28/$L$1</f>
        <v>0.0612253333333333</v>
      </c>
      <c r="I28" s="4" t="n">
        <f aca="false">I27+G28</f>
        <v>1140760</v>
      </c>
    </row>
    <row r="29" customFormat="false" ht="15" hidden="false" customHeight="false" outlineLevel="0" collapsed="false">
      <c r="A29" s="2" t="s">
        <v>37</v>
      </c>
      <c r="B29" s="4" t="n">
        <v>-5813</v>
      </c>
      <c r="C29" s="4" t="n">
        <v>-9393</v>
      </c>
      <c r="D29" s="4" t="n">
        <v>17968</v>
      </c>
      <c r="E29" s="4" t="n">
        <v>14794</v>
      </c>
      <c r="F29" s="4" t="n">
        <f aca="false">(B29-C29)+(D29-E29)</f>
        <v>6754</v>
      </c>
      <c r="G29" s="4" t="n">
        <f aca="false">C29+E29</f>
        <v>5401</v>
      </c>
      <c r="H29" s="5" t="n">
        <f aca="false">G29/$L$1</f>
        <v>0.00720133333333333</v>
      </c>
      <c r="I29" s="4" t="n">
        <f aca="false">I28+G29</f>
        <v>1146161</v>
      </c>
    </row>
    <row r="30" customFormat="false" ht="15" hidden="false" customHeight="false" outlineLevel="0" collapsed="false">
      <c r="A30" s="2" t="s">
        <v>38</v>
      </c>
      <c r="B30" s="4" t="n">
        <v>14155</v>
      </c>
      <c r="C30" s="4" t="n">
        <v>9940</v>
      </c>
      <c r="D30" s="4" t="n">
        <v>21786</v>
      </c>
      <c r="E30" s="4" t="n">
        <v>19084</v>
      </c>
      <c r="F30" s="4" t="n">
        <f aca="false">(B30-C30)+(D30-E30)</f>
        <v>6917</v>
      </c>
      <c r="G30" s="4" t="n">
        <f aca="false">C30+E30</f>
        <v>29024</v>
      </c>
      <c r="H30" s="5" t="n">
        <f aca="false">G30/$L$1</f>
        <v>0.0386986666666667</v>
      </c>
      <c r="I30" s="4" t="n">
        <f aca="false">I29+G30</f>
        <v>1175185</v>
      </c>
    </row>
    <row r="31" customFormat="false" ht="15" hidden="false" customHeight="false" outlineLevel="0" collapsed="false">
      <c r="A31" s="2" t="s">
        <v>39</v>
      </c>
      <c r="B31" s="4" t="n">
        <v>9097</v>
      </c>
      <c r="C31" s="4" t="n">
        <v>5315</v>
      </c>
      <c r="D31" s="4" t="n">
        <v>19292</v>
      </c>
      <c r="E31" s="4" t="n">
        <v>15000</v>
      </c>
      <c r="F31" s="4" t="n">
        <f aca="false">(B31-C31)+(D31-E31)</f>
        <v>8074</v>
      </c>
      <c r="G31" s="4" t="n">
        <f aca="false">C31+E31</f>
        <v>20315</v>
      </c>
      <c r="H31" s="5" t="n">
        <f aca="false">G31/$L$1</f>
        <v>0.0270866666666667</v>
      </c>
      <c r="I31" s="4" t="n">
        <f aca="false">I30+G31</f>
        <v>1195500</v>
      </c>
    </row>
    <row r="32" customFormat="false" ht="15" hidden="false" customHeight="false" outlineLevel="0" collapsed="false">
      <c r="A32" s="2" t="s">
        <v>40</v>
      </c>
      <c r="B32" s="4" t="n">
        <v>15736</v>
      </c>
      <c r="C32" s="4" t="n">
        <v>11702</v>
      </c>
      <c r="D32" s="4" t="n">
        <v>15965</v>
      </c>
      <c r="E32" s="4" t="n">
        <v>13234</v>
      </c>
      <c r="F32" s="4" t="n">
        <f aca="false">(B32-C32)+(D32-E32)</f>
        <v>6765</v>
      </c>
      <c r="G32" s="4" t="n">
        <f aca="false">C32+E32</f>
        <v>24936</v>
      </c>
      <c r="H32" s="5" t="n">
        <f aca="false">G32/$L$1</f>
        <v>0.033248</v>
      </c>
      <c r="I32" s="4" t="n">
        <f aca="false">I31+G32</f>
        <v>1220436</v>
      </c>
    </row>
    <row r="33" customFormat="false" ht="15" hidden="false" customHeight="false" outlineLevel="0" collapsed="false">
      <c r="A33" s="2" t="s">
        <v>41</v>
      </c>
      <c r="B33" s="4" t="n">
        <v>30979</v>
      </c>
      <c r="C33" s="4" t="n">
        <v>26247</v>
      </c>
      <c r="D33" s="4" t="n">
        <v>16683</v>
      </c>
      <c r="E33" s="4" t="n">
        <v>13305</v>
      </c>
      <c r="F33" s="4" t="n">
        <f aca="false">(B33-C33)+(D33-E33)</f>
        <v>8110</v>
      </c>
      <c r="G33" s="4" t="n">
        <f aca="false">C33+E33</f>
        <v>39552</v>
      </c>
      <c r="H33" s="5" t="n">
        <f aca="false">G33/$L$1</f>
        <v>0.052736</v>
      </c>
      <c r="I33" s="4" t="n">
        <f aca="false">I32+G33</f>
        <v>1259988</v>
      </c>
    </row>
    <row r="34" customFormat="false" ht="15" hidden="false" customHeight="false" outlineLevel="0" collapsed="false">
      <c r="A34" s="2" t="s">
        <v>42</v>
      </c>
      <c r="B34" s="4" t="n">
        <v>18395</v>
      </c>
      <c r="C34" s="4" t="n">
        <v>14590</v>
      </c>
      <c r="D34" s="4" t="n">
        <v>11013</v>
      </c>
      <c r="E34" s="4" t="n">
        <v>6702</v>
      </c>
      <c r="F34" s="4" t="n">
        <f aca="false">(B34-C34)+(D34-E34)</f>
        <v>8116</v>
      </c>
      <c r="G34" s="4" t="n">
        <f aca="false">C34+E34</f>
        <v>21292</v>
      </c>
      <c r="H34" s="5" t="n">
        <f aca="false">G34/$L$1</f>
        <v>0.0283893333333333</v>
      </c>
      <c r="I34" s="4" t="n">
        <f aca="false">I33+G34</f>
        <v>1281280</v>
      </c>
    </row>
    <row r="35" customFormat="false" ht="15" hidden="false" customHeight="false" outlineLevel="0" collapsed="false">
      <c r="A35" s="2" t="s">
        <v>43</v>
      </c>
      <c r="B35" s="4" t="n">
        <v>72604</v>
      </c>
      <c r="C35" s="4" t="n">
        <v>69425</v>
      </c>
      <c r="D35" s="4" t="n">
        <v>11976</v>
      </c>
      <c r="E35" s="4" t="n">
        <v>8105</v>
      </c>
      <c r="F35" s="4" t="n">
        <f aca="false">(B35-C35)+(D35-E35)</f>
        <v>7050</v>
      </c>
      <c r="G35" s="4" t="n">
        <f aca="false">C35+E35</f>
        <v>77530</v>
      </c>
      <c r="H35" s="5" t="n">
        <f aca="false">G35/$L$1</f>
        <v>0.103373333333333</v>
      </c>
      <c r="I35" s="4" t="n">
        <f aca="false">I34+G35</f>
        <v>1358810</v>
      </c>
    </row>
    <row r="36" customFormat="false" ht="15" hidden="false" customHeight="false" outlineLevel="0" collapsed="false">
      <c r="A36" s="2" t="s">
        <v>44</v>
      </c>
      <c r="B36" s="4" t="n">
        <v>40025</v>
      </c>
      <c r="C36" s="4" t="n">
        <v>35402</v>
      </c>
      <c r="D36" s="4" t="n">
        <v>16278</v>
      </c>
      <c r="E36" s="4" t="n">
        <v>12512</v>
      </c>
      <c r="F36" s="4" t="n">
        <f aca="false">(B36-C36)+(D36-E36)</f>
        <v>8389</v>
      </c>
      <c r="G36" s="4" t="n">
        <f aca="false">C36+E36</f>
        <v>47914</v>
      </c>
      <c r="H36" s="5" t="n">
        <f aca="false">G36/$L$1</f>
        <v>0.0638853333333333</v>
      </c>
      <c r="I36" s="4" t="n">
        <f aca="false">I35+G36</f>
        <v>1406724</v>
      </c>
    </row>
    <row r="37" customFormat="false" ht="15" hidden="false" customHeight="false" outlineLevel="0" collapsed="false">
      <c r="A37" s="2" t="s">
        <v>45</v>
      </c>
      <c r="B37" s="4" t="n">
        <v>49442</v>
      </c>
      <c r="C37" s="4" t="n">
        <v>45723</v>
      </c>
      <c r="D37" s="4" t="n">
        <v>32609</v>
      </c>
      <c r="E37" s="4" t="n">
        <v>28410</v>
      </c>
      <c r="F37" s="4" t="n">
        <f aca="false">(B37-C37)+(D37-E37)</f>
        <v>7918</v>
      </c>
      <c r="G37" s="4" t="n">
        <f aca="false">C37+E37</f>
        <v>74133</v>
      </c>
      <c r="H37" s="5" t="n">
        <f aca="false">G37/$L$1</f>
        <v>0.098844</v>
      </c>
      <c r="I37" s="4" t="n">
        <f aca="false">I36+G37</f>
        <v>1480857</v>
      </c>
    </row>
    <row r="38" customFormat="false" ht="15" hidden="false" customHeight="false" outlineLevel="0" collapsed="false">
      <c r="A38" s="2" t="s">
        <v>46</v>
      </c>
      <c r="B38" s="4" t="n">
        <v>9395</v>
      </c>
      <c r="C38" s="4" t="n">
        <v>5512</v>
      </c>
      <c r="D38" s="4" t="n">
        <v>2506</v>
      </c>
      <c r="E38" s="4" t="n">
        <v>-1424</v>
      </c>
      <c r="F38" s="4" t="n">
        <f aca="false">(B38-C38)+(D38-E38)</f>
        <v>7813</v>
      </c>
      <c r="G38" s="4" t="n">
        <f aca="false">C38+E38</f>
        <v>4088</v>
      </c>
      <c r="H38" s="5" t="n">
        <f aca="false">G38/$L$1</f>
        <v>0.00545066666666667</v>
      </c>
      <c r="I38" s="4" t="n">
        <f aca="false">I37+G38</f>
        <v>1484945</v>
      </c>
    </row>
    <row r="39" customFormat="false" ht="15" hidden="false" customHeight="false" outlineLevel="0" collapsed="false">
      <c r="A39" s="2" t="s">
        <v>47</v>
      </c>
      <c r="B39" s="4" t="n">
        <v>24484</v>
      </c>
      <c r="C39" s="4" t="n">
        <v>19950</v>
      </c>
      <c r="D39" s="4" t="n">
        <v>-13226</v>
      </c>
      <c r="E39" s="4" t="n">
        <v>-16437</v>
      </c>
      <c r="F39" s="4" t="n">
        <f aca="false">(B39-C39)+(D39-E39)</f>
        <v>7745</v>
      </c>
      <c r="G39" s="4" t="n">
        <f aca="false">C39+E39</f>
        <v>3513</v>
      </c>
      <c r="H39" s="5" t="n">
        <f aca="false">G39/$L$1</f>
        <v>0.004684</v>
      </c>
      <c r="I39" s="4" t="n">
        <f aca="false">I38+G39</f>
        <v>1488458</v>
      </c>
    </row>
    <row r="40" customFormat="false" ht="15" hidden="false" customHeight="false" outlineLevel="0" collapsed="false">
      <c r="A40" s="2" t="s">
        <v>48</v>
      </c>
      <c r="B40" s="4" t="n">
        <v>25281</v>
      </c>
      <c r="C40" s="4" t="n">
        <v>22422</v>
      </c>
      <c r="D40" s="4" t="n">
        <v>3659</v>
      </c>
      <c r="E40" s="4" t="n">
        <v>-893</v>
      </c>
      <c r="F40" s="4" t="n">
        <f aca="false">(B40-C40)+(D40-E40)</f>
        <v>7411</v>
      </c>
      <c r="G40" s="4" t="n">
        <f aca="false">C40+E40</f>
        <v>21529</v>
      </c>
      <c r="H40" s="5" t="n">
        <f aca="false">G40/$L$1</f>
        <v>0.0287053333333333</v>
      </c>
      <c r="I40" s="4" t="n">
        <f aca="false">I39+G40</f>
        <v>1509987</v>
      </c>
    </row>
    <row r="41" customFormat="false" ht="15" hidden="false" customHeight="false" outlineLevel="0" collapsed="false">
      <c r="A41" s="2" t="s">
        <v>49</v>
      </c>
      <c r="B41" s="4" t="n">
        <v>32685</v>
      </c>
      <c r="C41" s="4" t="n">
        <v>29602</v>
      </c>
      <c r="D41" s="4" t="n">
        <v>23785</v>
      </c>
      <c r="E41" s="4" t="n">
        <v>20630</v>
      </c>
      <c r="F41" s="4" t="n">
        <f aca="false">(B41-C41)+(D41-E41)</f>
        <v>6238</v>
      </c>
      <c r="G41" s="4" t="n">
        <f aca="false">C41+E41</f>
        <v>50232</v>
      </c>
      <c r="H41" s="5" t="n">
        <f aca="false">G41/$L$1</f>
        <v>0.066976</v>
      </c>
      <c r="I41" s="4" t="n">
        <f aca="false">I40+G41</f>
        <v>1560219</v>
      </c>
    </row>
    <row r="42" customFormat="false" ht="15" hidden="false" customHeight="false" outlineLevel="0" collapsed="false">
      <c r="A42" s="2" t="s">
        <v>50</v>
      </c>
      <c r="B42" s="4" t="n">
        <v>13814</v>
      </c>
      <c r="C42" s="4" t="n">
        <v>9065</v>
      </c>
      <c r="D42" s="4" t="n">
        <v>18209</v>
      </c>
      <c r="E42" s="4" t="n">
        <v>14603</v>
      </c>
      <c r="F42" s="4" t="n">
        <f aca="false">(B42-C42)+(D42-E42)</f>
        <v>8355</v>
      </c>
      <c r="G42" s="4" t="n">
        <f aca="false">C42+E42</f>
        <v>23668</v>
      </c>
      <c r="H42" s="5" t="n">
        <f aca="false">G42/$L$1</f>
        <v>0.0315573333333333</v>
      </c>
      <c r="I42" s="4" t="n">
        <f aca="false">I41+G42</f>
        <v>1583887</v>
      </c>
    </row>
    <row r="43" customFormat="false" ht="15" hidden="false" customHeight="false" outlineLevel="0" collapsed="false">
      <c r="A43" s="2" t="s">
        <v>51</v>
      </c>
      <c r="B43" s="4" t="n">
        <v>18426</v>
      </c>
      <c r="C43" s="4" t="n">
        <v>16002</v>
      </c>
      <c r="D43" s="4" t="n">
        <v>17392</v>
      </c>
      <c r="E43" s="4" t="n">
        <v>15121</v>
      </c>
      <c r="F43" s="4" t="n">
        <f aca="false">(B43-C43)+(D43-E43)</f>
        <v>4695</v>
      </c>
      <c r="G43" s="4" t="n">
        <f aca="false">C43+E43</f>
        <v>31123</v>
      </c>
      <c r="H43" s="5" t="n">
        <f aca="false">G43/$L$1</f>
        <v>0.0414973333333333</v>
      </c>
      <c r="I43" s="4" t="n">
        <f aca="false">I42+G43</f>
        <v>1615010</v>
      </c>
    </row>
    <row r="44" customFormat="false" ht="15" hidden="false" customHeight="false" outlineLevel="0" collapsed="false">
      <c r="A44" s="2" t="s">
        <v>52</v>
      </c>
      <c r="B44" s="6" t="n">
        <f aca="false">SUM(B2:B43)</f>
        <v>1087321</v>
      </c>
      <c r="C44" s="6" t="n">
        <f aca="false">SUM(C2:C43)</f>
        <v>925893</v>
      </c>
      <c r="D44" s="6" t="n">
        <f aca="false">SUM(D2:D43)</f>
        <v>839842</v>
      </c>
      <c r="E44" s="6" t="n">
        <f aca="false">SUM(E2:E43)</f>
        <v>689117</v>
      </c>
      <c r="F44" s="6" t="n">
        <f aca="false">SUM(F2:F43)</f>
        <v>312153</v>
      </c>
      <c r="G44" s="6" t="n">
        <f aca="false">SUM(G2:G43)</f>
        <v>1615010</v>
      </c>
      <c r="H44" s="7" t="n">
        <f aca="false">G44/$L$1</f>
        <v>2.15334666666667</v>
      </c>
    </row>
    <row r="46" customFormat="false" ht="15" hidden="false" customHeight="false" outlineLevel="0" collapsed="false">
      <c r="A46" s="8" t="s">
        <v>53</v>
      </c>
    </row>
    <row r="47" customFormat="false" ht="15" hidden="false" customHeight="false" outlineLevel="0" collapsed="false">
      <c r="A47" s="8" t="s">
        <v>54</v>
      </c>
    </row>
    <row r="48" customFormat="false" ht="15" hidden="false" customHeight="false" outlineLevel="0" collapsed="false">
      <c r="A48" s="8" t="s">
        <v>55</v>
      </c>
    </row>
    <row r="49" customFormat="false" ht="15" hidden="false" customHeight="false" outlineLevel="0" collapsed="false">
      <c r="A49" s="8" t="s">
        <v>56</v>
      </c>
    </row>
    <row r="50" customFormat="false" ht="15" hidden="false" customHeight="false" outlineLevel="0" collapsed="false">
      <c r="A50" s="8" t="s">
        <v>57</v>
      </c>
    </row>
  </sheetData>
  <conditionalFormatting sqref="G2:G43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5"/>
  </cols>
  <sheetData>
    <row r="1" customFormat="false" ht="15" hidden="false" customHeight="false" outlineLevel="0" collapsed="false">
      <c r="A1" s="9" t="s">
        <v>58</v>
      </c>
      <c r="B1" s="9" t="s">
        <v>59</v>
      </c>
      <c r="C1" s="9" t="s">
        <v>60</v>
      </c>
      <c r="D1" s="9" t="s">
        <v>2</v>
      </c>
      <c r="E1" s="9" t="s">
        <v>4</v>
      </c>
      <c r="F1" s="9" t="s">
        <v>61</v>
      </c>
      <c r="G1" s="9" t="s">
        <v>7</v>
      </c>
    </row>
    <row r="2" customFormat="false" ht="15" hidden="false" customHeight="false" outlineLevel="0" collapsed="false">
      <c r="A2" s="0" t="s">
        <v>62</v>
      </c>
      <c r="B2" s="6" t="n">
        <v>243071</v>
      </c>
      <c r="C2" s="6" t="n">
        <v>55247</v>
      </c>
      <c r="D2" s="6" t="n">
        <v>87992</v>
      </c>
      <c r="E2" s="6" t="n">
        <v>99831</v>
      </c>
      <c r="F2" s="6" t="n">
        <f aca="false">D2+E2</f>
        <v>187823</v>
      </c>
      <c r="G2" s="7" t="n">
        <f aca="false">F2/Monthly!$L$1</f>
        <v>0.250430666666667</v>
      </c>
    </row>
    <row r="3" customFormat="false" ht="15" hidden="false" customHeight="false" outlineLevel="0" collapsed="false">
      <c r="A3" s="0" t="s">
        <v>63</v>
      </c>
      <c r="B3" s="6" t="n">
        <v>691649</v>
      </c>
      <c r="C3" s="6" t="n">
        <v>91872</v>
      </c>
      <c r="D3" s="6" t="n">
        <v>307732</v>
      </c>
      <c r="E3" s="6" t="n">
        <v>292046</v>
      </c>
      <c r="F3" s="6" t="n">
        <f aca="false">D3+E3</f>
        <v>599778</v>
      </c>
      <c r="G3" s="7" t="n">
        <f aca="false">F3/Monthly!$L$1</f>
        <v>0.799704</v>
      </c>
    </row>
    <row r="4" customFormat="false" ht="15" hidden="false" customHeight="false" outlineLevel="0" collapsed="false">
      <c r="A4" s="0" t="s">
        <v>64</v>
      </c>
      <c r="B4" s="6" t="n">
        <v>563688</v>
      </c>
      <c r="C4" s="6" t="n">
        <v>91297</v>
      </c>
      <c r="D4" s="6" t="n">
        <v>262478</v>
      </c>
      <c r="E4" s="6" t="n">
        <v>209913</v>
      </c>
      <c r="F4" s="6" t="n">
        <f aca="false">D4+E4</f>
        <v>472391</v>
      </c>
      <c r="G4" s="7" t="n">
        <f aca="false">F4/Monthly!$L$1</f>
        <v>0.629854666666667</v>
      </c>
    </row>
    <row r="5" customFormat="false" ht="15" hidden="false" customHeight="false" outlineLevel="0" collapsed="false">
      <c r="A5" s="0" t="s">
        <v>65</v>
      </c>
      <c r="B5" s="6" t="n">
        <v>428755</v>
      </c>
      <c r="C5" s="6" t="n">
        <v>73734</v>
      </c>
      <c r="D5" s="6" t="n">
        <v>267692</v>
      </c>
      <c r="E5" s="6" t="n">
        <v>87329</v>
      </c>
      <c r="F5" s="6" t="n">
        <f aca="false">D5+E5</f>
        <v>355021</v>
      </c>
      <c r="G5" s="7" t="n">
        <f aca="false">F5/Monthly!$L$1</f>
        <v>0.473361333333333</v>
      </c>
    </row>
    <row r="7" customFormat="false" ht="15" hidden="false" customHeight="false" outlineLevel="0" collapsed="false">
      <c r="A7" s="8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2026-10-25T20:10:55Z</dcterms:created>
  <dc:creator>openpyxl</dc:creator>
  <dc:description/>
  <dc:language>en-US</dc:language>
  <cp:lastModifiedBy/>
  <dcterms:modified xsi:type="dcterms:W3CDTF">2026-10-25T20:10:55Z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
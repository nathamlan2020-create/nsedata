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l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<sst xmlns="http://schemas.openxmlformats.org/spreadsheetml/2006/main" count="53" uniqueCount="53">
  <si>
    <t xml:space="preserve">Month</t>
  </si>
  <si>
    <t xml:space="preserve">Nifty net ₹ (Tue, 7 lots)</t>
  </si>
  <si>
    <t xml:space="preserve">Sensex net ₹ (Thu, 7 lots)</t>
  </si>
  <si>
    <t xml:space="preserve">Total net ₹</t>
  </si>
  <si>
    <t xml:space="preserve">Return on capital</t>
  </si>
  <si>
    <t xml:space="preserve">Cumulative ₹</t>
  </si>
  <si>
    <t xml:space="preserve">Capital ₹</t>
  </si>
  <si>
    <t xml:space="preserve">May 2023</t>
  </si>
  <si>
    <t xml:space="preserve">Jun 2023</t>
  </si>
  <si>
    <t xml:space="preserve">Jul 2023</t>
  </si>
  <si>
    <t xml:space="preserve">Aug 2023</t>
  </si>
  <si>
    <t xml:space="preserve">Sep 2023</t>
  </si>
  <si>
    <t xml:space="preserve">Oct 2023</t>
  </si>
  <si>
    <t xml:space="preserve">Nov 2023</t>
  </si>
  <si>
    <t xml:space="preserve">Dec 2023</t>
  </si>
  <si>
    <t xml:space="preserve">Jan 2024</t>
  </si>
  <si>
    <t xml:space="preserve">Feb 2024</t>
  </si>
  <si>
    <t xml:space="preserve">Mar 2024</t>
  </si>
  <si>
    <t xml:space="preserve">Apr 2024</t>
  </si>
  <si>
    <t xml:space="preserve">May 2024</t>
  </si>
  <si>
    <t xml:space="preserve">Jun 2024</t>
  </si>
  <si>
    <t xml:space="preserve">Jul 2024</t>
  </si>
  <si>
    <t xml:space="preserve">Aug 2024</t>
  </si>
  <si>
    <t xml:space="preserve">Sep 2024</t>
  </si>
  <si>
    <t xml:space="preserve">Oct 2024</t>
  </si>
  <si>
    <t xml:space="preserve">Nov 2024</t>
  </si>
  <si>
    <t xml:space="preserve">Dec 2024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</si>
  <si>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</si>
  <si>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</si>
  <si>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</si>
  <si>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</si>
  <si>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</si>
  <si>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</si>
  <si>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</si>
  <si>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</si>
  <si>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</si>
  <si>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</si>
  <si>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</si>
  <si>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</si>
  <si>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</si>
  <si>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</si>
  <si>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</si>
  <si>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</si>
  <si>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</si>
  <si>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</si>
  <si>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</si>
  <si>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</si>
  <si>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</si>
  <si>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</si>
  <si>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Total</t>
  </si>
  <si>
    <t xml:space="preserve">7 hedged lots per expiry day: Nifty Tue 2 lots @9:22 + 2 @9:35 + 3 @10:05; Sensex Thu 2 @9:45 + 2 @10:05 + 3 @10:35. 40% SL/leg, other leg SL to cost, 1 re-entry before 1 PM, exit 15:15.</t>
  </si>
  <si>
    <t xml:space="preserve">Every straddle has Rs 1 hedges (far CE + far PE bought first, held to 15:15). All costs included + extra 0.5 pt/side slippage for size. Tax not included.</t>
  </si>
  <si>
    <t xml:space="preserve">Rebuilt option prices (not real fills) - treat as optimistic estimates. May 2023 = from 15 May; Oct 2026 = to 19-23 Oct. Return % is simple, not compounded.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</si>
</sst>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[RED]\-#,##0;\-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D7DA"/>
        </patternFill>
      </fill>
    </dxf>
    <dxf>
      <fill>
        <patternFill>
          <bgColor rgb="FFD4ED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6" min="2" style="0" width="15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  <c r="I1" s="3" t="n">
        <v>750000</v>
      </c>
    </row>
    <row r="2" customFormat="false" ht="15" hidden="false" customHeight="false" outlineLevel="0" collapsed="false">
      <c r="A2" s="2" t="s">
        <v>7</v>
      </c>
      <c r="B2" s="4" t="n">
        <v>-13992</v>
      </c>
      <c r="C2" s="4" t="n">
        <v>3171</v>
      </c>
      <c r="D2" s="4" t="n">
        <f aca="false">B2+C2</f>
        <v>-10821</v>
      </c>
      <c r="E2" s="5" t="n">
        <f aca="false">D2/$I$1</f>
        <v>-0.014428</v>
      </c>
      <c r="F2" s="4" t="n">
        <f aca="false">D2</f>
        <v>-10821</v>
      </c>
    </row>
    <row r="3" customFormat="false" ht="15" hidden="false" customHeight="false" outlineLevel="0" collapsed="false">
      <c r="A3" s="2" t="s">
        <v>8</v>
      </c>
      <c r="B3" s="4" t="n">
        <v>10299</v>
      </c>
      <c r="C3" s="4" t="n">
        <v>10180</v>
      </c>
      <c r="D3" s="4" t="n">
        <f aca="false">B3+C3</f>
        <v>20479</v>
      </c>
      <c r="E3" s="5" t="n">
        <f aca="false">D3/$I$1</f>
        <v>0.0273053333333333</v>
      </c>
      <c r="F3" s="4" t="n">
        <f aca="false">F2+D3</f>
        <v>9658</v>
      </c>
    </row>
    <row r="4" customFormat="false" ht="15" hidden="false" customHeight="false" outlineLevel="0" collapsed="false">
      <c r="A4" s="2" t="s">
        <v>9</v>
      </c>
      <c r="B4" s="4" t="n">
        <v>14266</v>
      </c>
      <c r="C4" s="4" t="n">
        <v>14142</v>
      </c>
      <c r="D4" s="4" t="n">
        <f aca="false">B4+C4</f>
        <v>28408</v>
      </c>
      <c r="E4" s="5" t="n">
        <f aca="false">D4/$I$1</f>
        <v>0.0378773333333333</v>
      </c>
      <c r="F4" s="4" t="n">
        <f aca="false">F3+D4</f>
        <v>38066</v>
      </c>
    </row>
    <row r="5" customFormat="false" ht="15" hidden="false" customHeight="false" outlineLevel="0" collapsed="false">
      <c r="A5" s="2" t="s">
        <v>10</v>
      </c>
      <c r="B5" s="4" t="n">
        <v>25653</v>
      </c>
      <c r="C5" s="4" t="n">
        <v>21977</v>
      </c>
      <c r="D5" s="4" t="n">
        <f aca="false">B5+C5</f>
        <v>47630</v>
      </c>
      <c r="E5" s="5" t="n">
        <f aca="false">D5/$I$1</f>
        <v>0.0635066666666667</v>
      </c>
      <c r="F5" s="4" t="n">
        <f aca="false">F4+D5</f>
        <v>85696</v>
      </c>
    </row>
    <row r="6" customFormat="false" ht="15" hidden="false" customHeight="false" outlineLevel="0" collapsed="false">
      <c r="A6" s="2" t="s">
        <v>11</v>
      </c>
      <c r="B6" s="4" t="n">
        <v>29514</v>
      </c>
      <c r="C6" s="4" t="n">
        <v>12920</v>
      </c>
      <c r="D6" s="4" t="n">
        <f aca="false">B6+C6</f>
        <v>42434</v>
      </c>
      <c r="E6" s="5" t="n">
        <f aca="false">D6/$I$1</f>
        <v>0.0565786666666667</v>
      </c>
      <c r="F6" s="4" t="n">
        <f aca="false">F5+D6</f>
        <v>128130</v>
      </c>
    </row>
    <row r="7" customFormat="false" ht="15" hidden="false" customHeight="false" outlineLevel="0" collapsed="false">
      <c r="A7" s="2" t="s">
        <v>12</v>
      </c>
      <c r="B7" s="4" t="n">
        <v>15884</v>
      </c>
      <c r="C7" s="4" t="n">
        <v>22779</v>
      </c>
      <c r="D7" s="4" t="n">
        <f aca="false">B7+C7</f>
        <v>38663</v>
      </c>
      <c r="E7" s="5" t="n">
        <f aca="false">D7/$I$1</f>
        <v>0.0515506666666667</v>
      </c>
      <c r="F7" s="4" t="n">
        <f aca="false">F6+D7</f>
        <v>166793</v>
      </c>
    </row>
    <row r="8" customFormat="false" ht="15" hidden="false" customHeight="false" outlineLevel="0" collapsed="false">
      <c r="A8" s="2" t="s">
        <v>13</v>
      </c>
      <c r="B8" s="4" t="n">
        <v>42191</v>
      </c>
      <c r="C8" s="4" t="n">
        <v>56020</v>
      </c>
      <c r="D8" s="4" t="n">
        <f aca="false">B8+C8</f>
        <v>98211</v>
      </c>
      <c r="E8" s="5" t="n">
        <f aca="false">D8/$I$1</f>
        <v>0.130948</v>
      </c>
      <c r="F8" s="4" t="n">
        <f aca="false">F7+D8</f>
        <v>265004</v>
      </c>
    </row>
    <row r="9" customFormat="false" ht="15" hidden="false" customHeight="false" outlineLevel="0" collapsed="false">
      <c r="A9" s="2" t="s">
        <v>14</v>
      </c>
      <c r="B9" s="4" t="n">
        <v>-2184</v>
      </c>
      <c r="C9" s="4" t="n">
        <v>52986</v>
      </c>
      <c r="D9" s="4" t="n">
        <f aca="false">B9+C9</f>
        <v>50802</v>
      </c>
      <c r="E9" s="5" t="n">
        <f aca="false">D9/$I$1</f>
        <v>0.067736</v>
      </c>
      <c r="F9" s="4" t="n">
        <f aca="false">F8+D9</f>
        <v>315806</v>
      </c>
    </row>
    <row r="10" customFormat="false" ht="15" hidden="false" customHeight="false" outlineLevel="0" collapsed="false">
      <c r="A10" s="2" t="s">
        <v>15</v>
      </c>
      <c r="B10" s="4" t="n">
        <v>23429</v>
      </c>
      <c r="C10" s="4" t="n">
        <v>31176</v>
      </c>
      <c r="D10" s="4" t="n">
        <f aca="false">B10+C10</f>
        <v>54605</v>
      </c>
      <c r="E10" s="5" t="n">
        <f aca="false">D10/$I$1</f>
        <v>0.0728066666666667</v>
      </c>
      <c r="F10" s="4" t="n">
        <f aca="false">F9+D10</f>
        <v>370411</v>
      </c>
    </row>
    <row r="11" customFormat="false" ht="15" hidden="false" customHeight="false" outlineLevel="0" collapsed="false">
      <c r="A11" s="2" t="s">
        <v>16</v>
      </c>
      <c r="B11" s="4" t="n">
        <v>68021</v>
      </c>
      <c r="C11" s="4" t="n">
        <v>40588</v>
      </c>
      <c r="D11" s="4" t="n">
        <f aca="false">B11+C11</f>
        <v>108609</v>
      </c>
      <c r="E11" s="5" t="n">
        <f aca="false">D11/$I$1</f>
        <v>0.144812</v>
      </c>
      <c r="F11" s="4" t="n">
        <f aca="false">F10+D11</f>
        <v>479020</v>
      </c>
    </row>
    <row r="12" customFormat="false" ht="15" hidden="false" customHeight="false" outlineLevel="0" collapsed="false">
      <c r="A12" s="2" t="s">
        <v>17</v>
      </c>
      <c r="B12" s="4" t="n">
        <v>16037</v>
      </c>
      <c r="C12" s="4" t="n">
        <v>63308</v>
      </c>
      <c r="D12" s="4" t="n">
        <f aca="false">B12+C12</f>
        <v>79345</v>
      </c>
      <c r="E12" s="5" t="n">
        <f aca="false">D12/$I$1</f>
        <v>0.105793333333333</v>
      </c>
      <c r="F12" s="4" t="n">
        <f aca="false">F11+D12</f>
        <v>558365</v>
      </c>
    </row>
    <row r="13" customFormat="false" ht="15" hidden="false" customHeight="false" outlineLevel="0" collapsed="false">
      <c r="A13" s="2" t="s">
        <v>18</v>
      </c>
      <c r="B13" s="4" t="n">
        <v>-48566</v>
      </c>
      <c r="C13" s="4" t="n">
        <v>4767</v>
      </c>
      <c r="D13" s="4" t="n">
        <f aca="false">B13+C13</f>
        <v>-43799</v>
      </c>
      <c r="E13" s="5" t="n">
        <f aca="false">D13/$I$1</f>
        <v>-0.0583986666666667</v>
      </c>
      <c r="F13" s="4" t="n">
        <f aca="false">F12+D13</f>
        <v>514566</v>
      </c>
    </row>
    <row r="14" customFormat="false" ht="15" hidden="false" customHeight="false" outlineLevel="0" collapsed="false">
      <c r="A14" s="2" t="s">
        <v>19</v>
      </c>
      <c r="B14" s="4" t="n">
        <v>72639</v>
      </c>
      <c r="C14" s="4" t="n">
        <v>183455</v>
      </c>
      <c r="D14" s="4" t="n">
        <f aca="false">B14+C14</f>
        <v>256094</v>
      </c>
      <c r="E14" s="5" t="n">
        <f aca="false">D14/$I$1</f>
        <v>0.341458666666667</v>
      </c>
      <c r="F14" s="4" t="n">
        <f aca="false">F13+D14</f>
        <v>770660</v>
      </c>
    </row>
    <row r="15" customFormat="false" ht="15" hidden="false" customHeight="false" outlineLevel="0" collapsed="false">
      <c r="A15" s="2" t="s">
        <v>20</v>
      </c>
      <c r="B15" s="4" t="n">
        <v>109098</v>
      </c>
      <c r="C15" s="4" t="n">
        <v>62603</v>
      </c>
      <c r="D15" s="4" t="n">
        <f aca="false">B15+C15</f>
        <v>171701</v>
      </c>
      <c r="E15" s="5" t="n">
        <f aca="false">D15/$I$1</f>
        <v>0.228934666666667</v>
      </c>
      <c r="F15" s="4" t="n">
        <f aca="false">F14+D15</f>
        <v>942361</v>
      </c>
    </row>
    <row r="16" customFormat="false" ht="15" hidden="false" customHeight="false" outlineLevel="0" collapsed="false">
      <c r="A16" s="2" t="s">
        <v>21</v>
      </c>
      <c r="B16" s="4" t="n">
        <v>33922</v>
      </c>
      <c r="C16" s="4" t="n">
        <v>34858</v>
      </c>
      <c r="D16" s="4" t="n">
        <f aca="false">B16+C16</f>
        <v>68780</v>
      </c>
      <c r="E16" s="5" t="n">
        <f aca="false">D16/$I$1</f>
        <v>0.0917066666666667</v>
      </c>
      <c r="F16" s="4" t="n">
        <f aca="false">F15+D16</f>
        <v>1011141</v>
      </c>
    </row>
    <row r="17" customFormat="false" ht="15" hidden="false" customHeight="false" outlineLevel="0" collapsed="false">
      <c r="A17" s="2" t="s">
        <v>22</v>
      </c>
      <c r="B17" s="4" t="n">
        <v>49452</v>
      </c>
      <c r="C17" s="4" t="n">
        <v>99022</v>
      </c>
      <c r="D17" s="4" t="n">
        <f aca="false">B17+C17</f>
        <v>148474</v>
      </c>
      <c r="E17" s="5" t="n">
        <f aca="false">D17/$I$1</f>
        <v>0.197965333333333</v>
      </c>
      <c r="F17" s="4" t="n">
        <f aca="false">F16+D17</f>
        <v>1159615</v>
      </c>
    </row>
    <row r="18" customFormat="false" ht="15" hidden="false" customHeight="false" outlineLevel="0" collapsed="false">
      <c r="A18" s="2" t="s">
        <v>23</v>
      </c>
      <c r="B18" s="4" t="n">
        <v>26664</v>
      </c>
      <c r="C18" s="4" t="n">
        <v>53326</v>
      </c>
      <c r="D18" s="4" t="n">
        <f aca="false">B18+C18</f>
        <v>79990</v>
      </c>
      <c r="E18" s="5" t="n">
        <f aca="false">D18/$I$1</f>
        <v>0.106653333333333</v>
      </c>
      <c r="F18" s="4" t="n">
        <f aca="false">F17+D18</f>
        <v>1239605</v>
      </c>
    </row>
    <row r="19" customFormat="false" ht="15" hidden="false" customHeight="false" outlineLevel="0" collapsed="false">
      <c r="A19" s="2" t="s">
        <v>24</v>
      </c>
      <c r="B19" s="4" t="n">
        <v>107142</v>
      </c>
      <c r="C19" s="4" t="n">
        <v>6096</v>
      </c>
      <c r="D19" s="4" t="n">
        <f aca="false">B19+C19</f>
        <v>113238</v>
      </c>
      <c r="E19" s="5" t="n">
        <f aca="false">D19/$I$1</f>
        <v>0.150984</v>
      </c>
      <c r="F19" s="4" t="n">
        <f aca="false">F18+D19</f>
        <v>1352843</v>
      </c>
    </row>
    <row r="20" customFormat="false" ht="15" hidden="false" customHeight="false" outlineLevel="0" collapsed="false">
      <c r="A20" s="2" t="s">
        <v>25</v>
      </c>
      <c r="B20" s="4" t="n">
        <v>102979</v>
      </c>
      <c r="C20" s="4" t="n">
        <v>30245</v>
      </c>
      <c r="D20" s="4" t="n">
        <f aca="false">B20+C20</f>
        <v>133224</v>
      </c>
      <c r="E20" s="5" t="n">
        <f aca="false">D20/$I$1</f>
        <v>0.177632</v>
      </c>
      <c r="F20" s="4" t="n">
        <f aca="false">F19+D20</f>
        <v>1486067</v>
      </c>
    </row>
    <row r="21" customFormat="false" ht="15" hidden="false" customHeight="false" outlineLevel="0" collapsed="false">
      <c r="A21" s="2" t="s">
        <v>26</v>
      </c>
      <c r="B21" s="4" t="n">
        <v>29586</v>
      </c>
      <c r="C21" s="4" t="n">
        <v>36243</v>
      </c>
      <c r="D21" s="4" t="n">
        <f aca="false">B21+C21</f>
        <v>65829</v>
      </c>
      <c r="E21" s="5" t="n">
        <f aca="false">D21/$I$1</f>
        <v>0.087772</v>
      </c>
      <c r="F21" s="4" t="n">
        <f aca="false">F20+D21</f>
        <v>1551896</v>
      </c>
    </row>
    <row r="22" customFormat="false" ht="15" hidden="false" customHeight="false" outlineLevel="0" collapsed="false">
      <c r="A22" s="2" t="s">
        <v>27</v>
      </c>
      <c r="B22" s="4" t="n">
        <v>109768</v>
      </c>
      <c r="C22" s="4" t="n">
        <v>-4482</v>
      </c>
      <c r="D22" s="4" t="n">
        <f aca="false">B22+C22</f>
        <v>105286</v>
      </c>
      <c r="E22" s="5" t="n">
        <f aca="false">D22/$I$1</f>
        <v>0.140381333333333</v>
      </c>
      <c r="F22" s="4" t="n">
        <f aca="false">F21+D22</f>
        <v>1657182</v>
      </c>
    </row>
    <row r="23" customFormat="false" ht="15" hidden="false" customHeight="false" outlineLevel="0" collapsed="false">
      <c r="A23" s="2" t="s">
        <v>28</v>
      </c>
      <c r="B23" s="4" t="n">
        <v>67892</v>
      </c>
      <c r="C23" s="4" t="n">
        <v>31806</v>
      </c>
      <c r="D23" s="4" t="n">
        <f aca="false">B23+C23</f>
        <v>99698</v>
      </c>
      <c r="E23" s="5" t="n">
        <f aca="false">D23/$I$1</f>
        <v>0.132930666666667</v>
      </c>
      <c r="F23" s="4" t="n">
        <f aca="false">F22+D23</f>
        <v>1756880</v>
      </c>
    </row>
    <row r="24" customFormat="false" ht="15" hidden="false" customHeight="false" outlineLevel="0" collapsed="false">
      <c r="A24" s="2" t="s">
        <v>29</v>
      </c>
      <c r="B24" s="4" t="n">
        <v>18014</v>
      </c>
      <c r="C24" s="4" t="n">
        <v>44735</v>
      </c>
      <c r="D24" s="4" t="n">
        <f aca="false">B24+C24</f>
        <v>62749</v>
      </c>
      <c r="E24" s="5" t="n">
        <f aca="false">D24/$I$1</f>
        <v>0.0836653333333333</v>
      </c>
      <c r="F24" s="4" t="n">
        <f aca="false">F23+D24</f>
        <v>1819629</v>
      </c>
    </row>
    <row r="25" customFormat="false" ht="15" hidden="false" customHeight="false" outlineLevel="0" collapsed="false">
      <c r="A25" s="2" t="s">
        <v>30</v>
      </c>
      <c r="B25" s="4" t="n">
        <v>135804</v>
      </c>
      <c r="C25" s="4" t="n">
        <v>94407</v>
      </c>
      <c r="D25" s="4" t="n">
        <f aca="false">B25+C25</f>
        <v>230211</v>
      </c>
      <c r="E25" s="5" t="n">
        <f aca="false">D25/$I$1</f>
        <v>0.306948</v>
      </c>
      <c r="F25" s="4" t="n">
        <f aca="false">F24+D25</f>
        <v>2049840</v>
      </c>
    </row>
    <row r="26" customFormat="false" ht="15" hidden="false" customHeight="false" outlineLevel="0" collapsed="false">
      <c r="A26" s="2" t="s">
        <v>31</v>
      </c>
      <c r="B26" s="4" t="n">
        <v>50758</v>
      </c>
      <c r="C26" s="4" t="n">
        <v>19351</v>
      </c>
      <c r="D26" s="4" t="n">
        <f aca="false">B26+C26</f>
        <v>70109</v>
      </c>
      <c r="E26" s="5" t="n">
        <f aca="false">D26/$I$1</f>
        <v>0.0934786666666667</v>
      </c>
      <c r="F26" s="4" t="n">
        <f aca="false">F25+D26</f>
        <v>2119949</v>
      </c>
    </row>
    <row r="27" customFormat="false" ht="15" hidden="false" customHeight="false" outlineLevel="0" collapsed="false">
      <c r="A27" s="2" t="s">
        <v>32</v>
      </c>
      <c r="B27" s="4" t="n">
        <v>29555</v>
      </c>
      <c r="C27" s="4" t="n">
        <v>41101</v>
      </c>
      <c r="D27" s="4" t="n">
        <f aca="false">B27+C27</f>
        <v>70656</v>
      </c>
      <c r="E27" s="5" t="n">
        <f aca="false">D27/$I$1</f>
        <v>0.094208</v>
      </c>
      <c r="F27" s="4" t="n">
        <f aca="false">F26+D27</f>
        <v>2190605</v>
      </c>
    </row>
    <row r="28" customFormat="false" ht="15" hidden="false" customHeight="false" outlineLevel="0" collapsed="false">
      <c r="A28" s="2" t="s">
        <v>33</v>
      </c>
      <c r="B28" s="4" t="n">
        <v>23347</v>
      </c>
      <c r="C28" s="4" t="n">
        <v>63596</v>
      </c>
      <c r="D28" s="4" t="n">
        <f aca="false">B28+C28</f>
        <v>86943</v>
      </c>
      <c r="E28" s="5" t="n">
        <f aca="false">D28/$I$1</f>
        <v>0.115924</v>
      </c>
      <c r="F28" s="4" t="n">
        <f aca="false">F27+D28</f>
        <v>2277548</v>
      </c>
    </row>
    <row r="29" customFormat="false" ht="15" hidden="false" customHeight="false" outlineLevel="0" collapsed="false">
      <c r="A29" s="2" t="s">
        <v>34</v>
      </c>
      <c r="B29" s="4" t="n">
        <v>-35843</v>
      </c>
      <c r="C29" s="4" t="n">
        <v>22013</v>
      </c>
      <c r="D29" s="4" t="n">
        <f aca="false">B29+C29</f>
        <v>-13830</v>
      </c>
      <c r="E29" s="5" t="n">
        <f aca="false">D29/$I$1</f>
        <v>-0.01844</v>
      </c>
      <c r="F29" s="4" t="n">
        <f aca="false">F28+D29</f>
        <v>2263718</v>
      </c>
    </row>
    <row r="30" customFormat="false" ht="15" hidden="false" customHeight="false" outlineLevel="0" collapsed="false">
      <c r="A30" s="2" t="s">
        <v>35</v>
      </c>
      <c r="B30" s="4" t="n">
        <v>8017</v>
      </c>
      <c r="C30" s="4" t="n">
        <v>39401</v>
      </c>
      <c r="D30" s="4" t="n">
        <f aca="false">B30+C30</f>
        <v>47418</v>
      </c>
      <c r="E30" s="5" t="n">
        <f aca="false">D30/$I$1</f>
        <v>0.063224</v>
      </c>
      <c r="F30" s="4" t="n">
        <f aca="false">F29+D30</f>
        <v>2311136</v>
      </c>
    </row>
    <row r="31" customFormat="false" ht="15" hidden="false" customHeight="false" outlineLevel="0" collapsed="false">
      <c r="A31" s="2" t="s">
        <v>36</v>
      </c>
      <c r="B31" s="4" t="n">
        <v>829</v>
      </c>
      <c r="C31" s="4" t="n">
        <v>28421</v>
      </c>
      <c r="D31" s="4" t="n">
        <f aca="false">B31+C31</f>
        <v>29250</v>
      </c>
      <c r="E31" s="5" t="n">
        <f aca="false">D31/$I$1</f>
        <v>0.039</v>
      </c>
      <c r="F31" s="4" t="n">
        <f aca="false">F30+D31</f>
        <v>2340386</v>
      </c>
    </row>
    <row r="32" customFormat="false" ht="15" hidden="false" customHeight="false" outlineLevel="0" collapsed="false">
      <c r="A32" s="2" t="s">
        <v>37</v>
      </c>
      <c r="B32" s="4" t="n">
        <v>17531</v>
      </c>
      <c r="C32" s="4" t="n">
        <v>22998</v>
      </c>
      <c r="D32" s="4" t="n">
        <f aca="false">B32+C32</f>
        <v>40529</v>
      </c>
      <c r="E32" s="5" t="n">
        <f aca="false">D32/$I$1</f>
        <v>0.0540386666666667</v>
      </c>
      <c r="F32" s="4" t="n">
        <f aca="false">F31+D32</f>
        <v>2380915</v>
      </c>
    </row>
    <row r="33" customFormat="false" ht="15" hidden="false" customHeight="false" outlineLevel="0" collapsed="false">
      <c r="A33" s="2" t="s">
        <v>38</v>
      </c>
      <c r="B33" s="4" t="n">
        <v>48531</v>
      </c>
      <c r="C33" s="4" t="n">
        <v>27179</v>
      </c>
      <c r="D33" s="4" t="n">
        <f aca="false">B33+C33</f>
        <v>75710</v>
      </c>
      <c r="E33" s="5" t="n">
        <f aca="false">D33/$I$1</f>
        <v>0.100946666666667</v>
      </c>
      <c r="F33" s="4" t="n">
        <f aca="false">F32+D33</f>
        <v>2456625</v>
      </c>
    </row>
    <row r="34" customFormat="false" ht="15" hidden="false" customHeight="false" outlineLevel="0" collapsed="false">
      <c r="A34" s="2" t="s">
        <v>39</v>
      </c>
      <c r="B34" s="4" t="n">
        <v>19803</v>
      </c>
      <c r="C34" s="4" t="n">
        <v>11864</v>
      </c>
      <c r="D34" s="4" t="n">
        <f aca="false">B34+C34</f>
        <v>31667</v>
      </c>
      <c r="E34" s="5" t="n">
        <f aca="false">D34/$I$1</f>
        <v>0.0422226666666667</v>
      </c>
      <c r="F34" s="4" t="n">
        <f aca="false">F33+D34</f>
        <v>2488292</v>
      </c>
    </row>
    <row r="35" customFormat="false" ht="15" hidden="false" customHeight="false" outlineLevel="0" collapsed="false">
      <c r="A35" s="2" t="s">
        <v>40</v>
      </c>
      <c r="B35" s="4" t="n">
        <v>153277</v>
      </c>
      <c r="C35" s="4" t="n">
        <v>16273</v>
      </c>
      <c r="D35" s="4" t="n">
        <f aca="false">B35+C35</f>
        <v>169550</v>
      </c>
      <c r="E35" s="5" t="n">
        <f aca="false">D35/$I$1</f>
        <v>0.226066666666667</v>
      </c>
      <c r="F35" s="4" t="n">
        <f aca="false">F34+D35</f>
        <v>2657842</v>
      </c>
    </row>
    <row r="36" customFormat="false" ht="15" hidden="false" customHeight="false" outlineLevel="0" collapsed="false">
      <c r="A36" s="2" t="s">
        <v>41</v>
      </c>
      <c r="B36" s="4" t="n">
        <v>73994</v>
      </c>
      <c r="C36" s="4" t="n">
        <v>23473</v>
      </c>
      <c r="D36" s="4" t="n">
        <f aca="false">B36+C36</f>
        <v>97467</v>
      </c>
      <c r="E36" s="5" t="n">
        <f aca="false">D36/$I$1</f>
        <v>0.129956</v>
      </c>
      <c r="F36" s="4" t="n">
        <f aca="false">F35+D36</f>
        <v>2755309</v>
      </c>
    </row>
    <row r="37" customFormat="false" ht="15" hidden="false" customHeight="false" outlineLevel="0" collapsed="false">
      <c r="A37" s="2" t="s">
        <v>42</v>
      </c>
      <c r="B37" s="4" t="n">
        <v>98769</v>
      </c>
      <c r="C37" s="4" t="n">
        <v>66877</v>
      </c>
      <c r="D37" s="4" t="n">
        <f aca="false">B37+C37</f>
        <v>165646</v>
      </c>
      <c r="E37" s="5" t="n">
        <f aca="false">D37/$I$1</f>
        <v>0.220861333333333</v>
      </c>
      <c r="F37" s="4" t="n">
        <f aca="false">F36+D37</f>
        <v>2920955</v>
      </c>
    </row>
    <row r="38" customFormat="false" ht="15" hidden="false" customHeight="false" outlineLevel="0" collapsed="false">
      <c r="A38" s="2" t="s">
        <v>43</v>
      </c>
      <c r="B38" s="4" t="n">
        <v>-569</v>
      </c>
      <c r="C38" s="4" t="n">
        <v>-5905</v>
      </c>
      <c r="D38" s="4" t="n">
        <f aca="false">B38+C38</f>
        <v>-6474</v>
      </c>
      <c r="E38" s="5" t="n">
        <f aca="false">D38/$I$1</f>
        <v>-0.008632</v>
      </c>
      <c r="F38" s="4" t="n">
        <f aca="false">F37+D38</f>
        <v>2914481</v>
      </c>
    </row>
    <row r="39" customFormat="false" ht="15" hidden="false" customHeight="false" outlineLevel="0" collapsed="false">
      <c r="A39" s="2" t="s">
        <v>44</v>
      </c>
      <c r="B39" s="4" t="n">
        <v>27692</v>
      </c>
      <c r="C39" s="4" t="n">
        <v>-47779</v>
      </c>
      <c r="D39" s="4" t="n">
        <f aca="false">B39+C39</f>
        <v>-20087</v>
      </c>
      <c r="E39" s="5" t="n">
        <f aca="false">D39/$I$1</f>
        <v>-0.0267826666666667</v>
      </c>
      <c r="F39" s="4" t="n">
        <f aca="false">F38+D39</f>
        <v>2894394</v>
      </c>
    </row>
    <row r="40" customFormat="false" ht="15" hidden="false" customHeight="false" outlineLevel="0" collapsed="false">
      <c r="A40" s="2" t="s">
        <v>45</v>
      </c>
      <c r="B40" s="4" t="n">
        <v>44455</v>
      </c>
      <c r="C40" s="4" t="n">
        <v>-9009</v>
      </c>
      <c r="D40" s="4" t="n">
        <f aca="false">B40+C40</f>
        <v>35446</v>
      </c>
      <c r="E40" s="5" t="n">
        <f aca="false">D40/$I$1</f>
        <v>0.0472613333333333</v>
      </c>
      <c r="F40" s="4" t="n">
        <f aca="false">F39+D40</f>
        <v>2929840</v>
      </c>
    </row>
    <row r="41" customFormat="false" ht="15" hidden="false" customHeight="false" outlineLevel="0" collapsed="false">
      <c r="A41" s="2" t="s">
        <v>46</v>
      </c>
      <c r="B41" s="4" t="n">
        <v>57878</v>
      </c>
      <c r="C41" s="4" t="n">
        <v>39701</v>
      </c>
      <c r="D41" s="4" t="n">
        <f aca="false">B41+C41</f>
        <v>97579</v>
      </c>
      <c r="E41" s="5" t="n">
        <f aca="false">D41/$I$1</f>
        <v>0.130105333333333</v>
      </c>
      <c r="F41" s="4" t="n">
        <f aca="false">F40+D41</f>
        <v>3027419</v>
      </c>
    </row>
    <row r="42" customFormat="false" ht="15" hidden="false" customHeight="false" outlineLevel="0" collapsed="false">
      <c r="A42" s="2" t="s">
        <v>47</v>
      </c>
      <c r="B42" s="4" t="n">
        <v>10563</v>
      </c>
      <c r="C42" s="4" t="n">
        <v>28304</v>
      </c>
      <c r="D42" s="4" t="n">
        <f aca="false">B42+C42</f>
        <v>38867</v>
      </c>
      <c r="E42" s="5" t="n">
        <f aca="false">D42/$I$1</f>
        <v>0.0518226666666667</v>
      </c>
      <c r="F42" s="4" t="n">
        <f aca="false">F41+D42</f>
        <v>3066286</v>
      </c>
    </row>
    <row r="43" customFormat="false" ht="15" hidden="false" customHeight="false" outlineLevel="0" collapsed="false">
      <c r="A43" s="2" t="s">
        <v>48</v>
      </c>
      <c r="B43" s="4" t="n">
        <v>28525</v>
      </c>
      <c r="C43" s="4" t="n">
        <v>32211</v>
      </c>
      <c r="D43" s="4" t="n">
        <f aca="false">B43+C43</f>
        <v>60736</v>
      </c>
      <c r="E43" s="5" t="n">
        <f aca="false">D43/$I$1</f>
        <v>0.0809813333333333</v>
      </c>
      <c r="F43" s="4" t="n">
        <f aca="false">F42+D43</f>
        <v>3127022</v>
      </c>
    </row>
    <row r="44" customFormat="false" ht="15" hidden="false" customHeight="false" outlineLevel="0" collapsed="false">
      <c r="A44" s="2" t="s">
        <v>49</v>
      </c>
      <c r="B44" s="6" t="n">
        <f aca="false">SUM(B2:B43)</f>
        <v>1700624</v>
      </c>
      <c r="C44" s="6" t="n">
        <f aca="false">SUM(C2:C43)</f>
        <v>1426398</v>
      </c>
      <c r="D44" s="6" t="n">
        <f aca="false">SUM(D2:D43)</f>
        <v>3127022</v>
      </c>
    </row>
    <row r="46" customFormat="false" ht="15" hidden="false" customHeight="false" outlineLevel="0" collapsed="false">
      <c r="A46" s="7" t="s">
        <v>50</v>
      </c>
    </row>
    <row r="47" customFormat="false" ht="15" hidden="false" customHeight="false" outlineLevel="0" collapsed="false">
      <c r="A47" s="7" t="s">
        <v>51</v>
      </c>
    </row>
    <row r="48" customFormat="false" ht="15" hidden="false" customHeight="false" outlineLevel="0" collapsed="false">
      <c r="A48" s="7" t="s">
        <v>52</v>
      </c>
    </row>
  </sheetData>
  <conditionalFormatting sqref="D2:D43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2026-10-25T20:22:39Z</dcterms:created>
  <dc:creator>openpyxl</dc:creator>
  <dc:description/>
  <dc:language>en-US</dc:language>
  <cp:lastModifiedBy/>
  <dcterms:modified xsi:type="dcterms:W3CDTF">2026-10-25T20:22:39Z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
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" sheetId="1" state="visible" r:id="rId3"/>
    <sheet name="Year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<sst xmlns="http://schemas.openxmlformats.org/spreadsheetml/2006/main" count="151" uniqueCount="149">
  <si>
    <t xml:space="preserve">Month</t>
  </si>
  <si>
    <t xml:space="preserve">Nifty expiry (7 lots) ₹</t>
  </si>
  <si>
    <t xml:space="preserve">Sensex expiry (7 lots) ₹</t>
  </si>
  <si>
    <t xml:space="preserve">Weekend (5 lots) ₹</t>
  </si>
  <si>
    <t xml:space="preserve">Total ₹</t>
  </si>
  <si>
    <t xml:space="preserve">% of ₹7.5 L</t>
  </si>
  <si>
    <t xml:space="preserve">Cumulative ₹</t>
  </si>
  <si>
    <t xml:space="preserve">Capital ₹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</si>
  <si>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</si>
  <si>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</si>
  <si>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</si>
  <si>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</si>
  <si>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</si>
  <si>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</si>
  <si>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</si>
  <si>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</si>
  <si>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</si>
  <si>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</si>
  <si>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</si>
  <si>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</si>
  <si>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</si>
  <si>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</si>
  <si>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</si>
  <si>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</si>
  <si>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</si>
  <si>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</si>
  <si>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</si>
  <si>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</si>
  <si>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</si>
  <si>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</si>
  <si>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</si>
  <si>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</si>
  <si>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</si>
  <si>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</si>
  <si>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</si>
  <si>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</si>
  <si>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</si>
  <si>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</si>
  <si>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</si>
  <si>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</si>
  <si>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</si>
  <si>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</si>
  <si>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</si>
  <si>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</si>
  <si>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</si>
  <si>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</si>
  <si>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</si>
  <si>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</si>
  <si>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</si>
  <si>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</si>
  <si>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</si>
  <si>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</si>
  <si>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</si>
  <si>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</si>
  <si>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</si>
  <si>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</si>
  <si>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</si>
  <si>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</si>
  <si>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</si>
  <si>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</si>
  <si>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</si>
  <si>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</si>
  <si>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</si>
  <si>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</si>
  <si>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</si>
  <si>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</si>
  <si>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</si>
  <si>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</si>
  <si>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</si>
  <si>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</si>
  <si>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</si>
  <si>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</si>
  <si>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</si>
  <si>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</si>
  <si>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</si>
  <si>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</si>
  <si>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</si>
  <si>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</si>
  <si>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</si>
  <si>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</si>
  <si>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</si>
  <si>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</si>
  <si>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</si>
  <si>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</si>
  <si>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</si>
  <si>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</si>
  <si>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</si>
  <si>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</si>
  <si>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</si>
  <si>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</si>
  <si>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</si>
  <si>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</si>
  <si>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</si>
  <si>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</si>
  <si>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</si>
  <si>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</si>
  <si>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</si>
  <si>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</si>
  <si>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</si>
  <si>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</si>
  <si>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</si>
  <si>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</si>
  <si>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</si>
  <si>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</si>
  <si>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</si>
  <si>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</si>
  <si>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</si>
  <si>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</si>
  <si>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</si>
  <si>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</si>
  <si>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</si>
  <si>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</si>
  <si>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</si>
  <si>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</si>
  <si>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</si>
  <si>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</si>
  <si>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</si>
  <si>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</si>
  <si>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</si>
  <si>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</si>
  <si>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</si>
  <si>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</si>
  <si>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</si>
  <si>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</si>
  <si>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</si>
  <si>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</si>
  <si>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</si>
  <si>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</si>
  <si>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</si>
  <si>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Total</t>
  </si>
  <si>
    <t xml:space="preserve">Nifty expiry: 7 hedged lots (2/2/3 at 9:22/9:35/10:05), 40% SL/leg, other leg SL to cost, 1 re-entry only if day green, day stop -20k, DD&gt;30k -&gt; 3 lots, exit 15:15. Monthly expiries only until Feb 2019.</t>
  </si>
  <si>
    <t xml:space="preserve">Sensex expiry: same, 2/2/3 at 9:45/10:05/10:35, from 15 May 2023 (weekly Sensex options started then).</t>
  </si>
  <si>
    <t xml:space="preserve">Weekend: 5 lots Nifty futures + 1% OTM protective option, only if Friday direction agrees with 50 EMA AND 200 SMA, skip long weekends, Fri close -&gt; Mon open (real NSE prices).</t>
  </si>
  <si>
    <t xml:space="preserve">After costs, before tax. Expiry trades use rebuilt minute prices (estimates). Oct 2016 = from 26 Oct; Oct 2026 = to ~23 Oct.</t>
  </si>
  <si>
    <t xml:space="preserve">Year</t>
  </si>
  <si>
    <t xml:space="preserve">Nifty ₹</t>
  </si>
  <si>
    <t xml:space="preserve">Sensex ₹</t>
  </si>
  <si>
    <t xml:space="preserve">Weekend ₹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</si>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</sst>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-#,##0;\-"/>
    <numFmt numFmtId="166" formatCode="0.0%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7" min="2" style="0" width="15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3" t="n">
        <v>750000</v>
      </c>
    </row>
    <row r="2" customFormat="false" ht="15" hidden="false" customHeight="false" outlineLevel="0" collapsed="false">
      <c r="A2" s="4" t="s">
        <v>8</v>
      </c>
      <c r="B2" s="5" t="n">
        <v>-7788</v>
      </c>
      <c r="C2" s="5" t="n">
        <v>0</v>
      </c>
      <c r="D2" s="5" t="n">
        <v>0</v>
      </c>
      <c r="E2" s="5" t="n">
        <f aca="false">B2+C2+D2</f>
        <v>-7788</v>
      </c>
      <c r="F2" s="6" t="n">
        <f aca="false">E2/$J$1</f>
        <v>-0.010384</v>
      </c>
      <c r="G2" s="5" t="n">
        <f aca="false">E2</f>
        <v>-7788</v>
      </c>
    </row>
    <row r="3" customFormat="false" ht="15" hidden="false" customHeight="false" outlineLevel="0" collapsed="false">
      <c r="A3" s="4" t="s">
        <v>9</v>
      </c>
      <c r="B3" s="5" t="n">
        <v>-6272</v>
      </c>
      <c r="C3" s="5" t="n">
        <v>0</v>
      </c>
      <c r="D3" s="5" t="n">
        <v>-1786</v>
      </c>
      <c r="E3" s="5" t="n">
        <f aca="false">B3+C3+D3</f>
        <v>-8058</v>
      </c>
      <c r="F3" s="6" t="n">
        <f aca="false">E3/$J$1</f>
        <v>-0.010744</v>
      </c>
      <c r="G3" s="5" t="n">
        <f aca="false">G2+E3</f>
        <v>-15846</v>
      </c>
    </row>
    <row r="4" customFormat="false" ht="15" hidden="false" customHeight="false" outlineLevel="0" collapsed="false">
      <c r="A4" s="4" t="s">
        <v>10</v>
      </c>
      <c r="B4" s="5" t="n">
        <v>3001</v>
      </c>
      <c r="C4" s="5" t="n">
        <v>0</v>
      </c>
      <c r="D4" s="5" t="n">
        <v>6546</v>
      </c>
      <c r="E4" s="5" t="n">
        <f aca="false">B4+C4+D4</f>
        <v>9547</v>
      </c>
      <c r="F4" s="6" t="n">
        <f aca="false">E4/$J$1</f>
        <v>0.0127293333333333</v>
      </c>
      <c r="G4" s="5" t="n">
        <f aca="false">G3+E4</f>
        <v>-6299</v>
      </c>
    </row>
    <row r="5" customFormat="false" ht="15" hidden="false" customHeight="false" outlineLevel="0" collapsed="false">
      <c r="A5" s="4" t="s">
        <v>11</v>
      </c>
      <c r="B5" s="5" t="n">
        <v>-4028</v>
      </c>
      <c r="C5" s="5" t="n">
        <v>0</v>
      </c>
      <c r="D5" s="5" t="n">
        <v>-2034</v>
      </c>
      <c r="E5" s="5" t="n">
        <f aca="false">B5+C5+D5</f>
        <v>-6062</v>
      </c>
      <c r="F5" s="6" t="n">
        <f aca="false">E5/$J$1</f>
        <v>-0.00808266666666667</v>
      </c>
      <c r="G5" s="5" t="n">
        <f aca="false">G4+E5</f>
        <v>-12361</v>
      </c>
    </row>
    <row r="6" customFormat="false" ht="15" hidden="false" customHeight="false" outlineLevel="0" collapsed="false">
      <c r="A6" s="4" t="s">
        <v>12</v>
      </c>
      <c r="B6" s="5" t="n">
        <v>3309</v>
      </c>
      <c r="C6" s="5" t="n">
        <v>0</v>
      </c>
      <c r="D6" s="5" t="n">
        <v>9716</v>
      </c>
      <c r="E6" s="5" t="n">
        <f aca="false">B6+C6+D6</f>
        <v>13025</v>
      </c>
      <c r="F6" s="6" t="n">
        <f aca="false">E6/$J$1</f>
        <v>0.0173666666666667</v>
      </c>
      <c r="G6" s="5" t="n">
        <f aca="false">G5+E6</f>
        <v>664</v>
      </c>
    </row>
    <row r="7" customFormat="false" ht="15" hidden="false" customHeight="false" outlineLevel="0" collapsed="false">
      <c r="A7" s="4" t="s">
        <v>13</v>
      </c>
      <c r="B7" s="5" t="n">
        <v>-4013</v>
      </c>
      <c r="C7" s="5" t="n">
        <v>0</v>
      </c>
      <c r="D7" s="5" t="n">
        <v>11715</v>
      </c>
      <c r="E7" s="5" t="n">
        <f aca="false">B7+C7+D7</f>
        <v>7702</v>
      </c>
      <c r="F7" s="6" t="n">
        <f aca="false">E7/$J$1</f>
        <v>0.0102693333333333</v>
      </c>
      <c r="G7" s="5" t="n">
        <f aca="false">G6+E7</f>
        <v>8366</v>
      </c>
    </row>
    <row r="8" customFormat="false" ht="15" hidden="false" customHeight="false" outlineLevel="0" collapsed="false">
      <c r="A8" s="4" t="s">
        <v>14</v>
      </c>
      <c r="B8" s="5" t="n">
        <v>-1457</v>
      </c>
      <c r="C8" s="5" t="n">
        <v>0</v>
      </c>
      <c r="D8" s="5" t="n">
        <v>0</v>
      </c>
      <c r="E8" s="5" t="n">
        <f aca="false">B8+C8+D8</f>
        <v>-1457</v>
      </c>
      <c r="F8" s="6" t="n">
        <f aca="false">E8/$J$1</f>
        <v>-0.00194266666666667</v>
      </c>
      <c r="G8" s="5" t="n">
        <f aca="false">G7+E8</f>
        <v>6909</v>
      </c>
    </row>
    <row r="9" customFormat="false" ht="15" hidden="false" customHeight="false" outlineLevel="0" collapsed="false">
      <c r="A9" s="4" t="s">
        <v>15</v>
      </c>
      <c r="B9" s="5" t="n">
        <v>3000</v>
      </c>
      <c r="C9" s="5" t="n">
        <v>0</v>
      </c>
      <c r="D9" s="5" t="n">
        <v>-3776</v>
      </c>
      <c r="E9" s="5" t="n">
        <f aca="false">B9+C9+D9</f>
        <v>-776</v>
      </c>
      <c r="F9" s="6" t="n">
        <f aca="false">E9/$J$1</f>
        <v>-0.00103466666666667</v>
      </c>
      <c r="G9" s="5" t="n">
        <f aca="false">G8+E9</f>
        <v>6133</v>
      </c>
    </row>
    <row r="10" customFormat="false" ht="15" hidden="false" customHeight="false" outlineLevel="0" collapsed="false">
      <c r="A10" s="4" t="s">
        <v>16</v>
      </c>
      <c r="B10" s="5" t="n">
        <v>-6896</v>
      </c>
      <c r="C10" s="5" t="n">
        <v>0</v>
      </c>
      <c r="D10" s="5" t="n">
        <v>-464</v>
      </c>
      <c r="E10" s="5" t="n">
        <f aca="false">B10+C10+D10</f>
        <v>-7360</v>
      </c>
      <c r="F10" s="6" t="n">
        <f aca="false">E10/$J$1</f>
        <v>-0.00981333333333333</v>
      </c>
      <c r="G10" s="5" t="n">
        <f aca="false">G9+E10</f>
        <v>-1227</v>
      </c>
    </row>
    <row r="11" customFormat="false" ht="15" hidden="false" customHeight="false" outlineLevel="0" collapsed="false">
      <c r="A11" s="4" t="s">
        <v>17</v>
      </c>
      <c r="B11" s="5" t="n">
        <v>-9312</v>
      </c>
      <c r="C11" s="5" t="n">
        <v>0</v>
      </c>
      <c r="D11" s="5" t="n">
        <v>8185</v>
      </c>
      <c r="E11" s="5" t="n">
        <f aca="false">B11+C11+D11</f>
        <v>-1127</v>
      </c>
      <c r="F11" s="6" t="n">
        <f aca="false">E11/$J$1</f>
        <v>-0.00150266666666667</v>
      </c>
      <c r="G11" s="5" t="n">
        <f aca="false">G10+E11</f>
        <v>-2354</v>
      </c>
    </row>
    <row r="12" customFormat="false" ht="15" hidden="false" customHeight="false" outlineLevel="0" collapsed="false">
      <c r="A12" s="4" t="s">
        <v>18</v>
      </c>
      <c r="B12" s="5" t="n">
        <v>53</v>
      </c>
      <c r="C12" s="5" t="n">
        <v>0</v>
      </c>
      <c r="D12" s="5" t="n">
        <v>1861</v>
      </c>
      <c r="E12" s="5" t="n">
        <f aca="false">B12+C12+D12</f>
        <v>1914</v>
      </c>
      <c r="F12" s="6" t="n">
        <f aca="false">E12/$J$1</f>
        <v>0.002552</v>
      </c>
      <c r="G12" s="5" t="n">
        <f aca="false">G11+E12</f>
        <v>-440</v>
      </c>
    </row>
    <row r="13" customFormat="false" ht="15" hidden="false" customHeight="false" outlineLevel="0" collapsed="false">
      <c r="A13" s="4" t="s">
        <v>19</v>
      </c>
      <c r="B13" s="5" t="n">
        <v>-1977</v>
      </c>
      <c r="C13" s="5" t="n">
        <v>0</v>
      </c>
      <c r="D13" s="5" t="n">
        <v>14159</v>
      </c>
      <c r="E13" s="5" t="n">
        <f aca="false">B13+C13+D13</f>
        <v>12182</v>
      </c>
      <c r="F13" s="6" t="n">
        <f aca="false">E13/$J$1</f>
        <v>0.0162426666666667</v>
      </c>
      <c r="G13" s="5" t="n">
        <f aca="false">G12+E13</f>
        <v>11742</v>
      </c>
    </row>
    <row r="14" customFormat="false" ht="15" hidden="false" customHeight="false" outlineLevel="0" collapsed="false">
      <c r="A14" s="4" t="s">
        <v>20</v>
      </c>
      <c r="B14" s="5" t="n">
        <v>3545</v>
      </c>
      <c r="C14" s="5" t="n">
        <v>0</v>
      </c>
      <c r="D14" s="5" t="n">
        <v>12183</v>
      </c>
      <c r="E14" s="5" t="n">
        <f aca="false">B14+C14+D14</f>
        <v>15728</v>
      </c>
      <c r="F14" s="6" t="n">
        <f aca="false">E14/$J$1</f>
        <v>0.0209706666666667</v>
      </c>
      <c r="G14" s="5" t="n">
        <f aca="false">G13+E14</f>
        <v>27470</v>
      </c>
    </row>
    <row r="15" customFormat="false" ht="15" hidden="false" customHeight="false" outlineLevel="0" collapsed="false">
      <c r="A15" s="4" t="s">
        <v>21</v>
      </c>
      <c r="B15" s="5" t="n">
        <v>-810</v>
      </c>
      <c r="C15" s="5" t="n">
        <v>0</v>
      </c>
      <c r="D15" s="5" t="n">
        <v>-21231</v>
      </c>
      <c r="E15" s="5" t="n">
        <f aca="false">B15+C15+D15</f>
        <v>-22041</v>
      </c>
      <c r="F15" s="6" t="n">
        <f aca="false">E15/$J$1</f>
        <v>-0.029388</v>
      </c>
      <c r="G15" s="5" t="n">
        <f aca="false">G14+E15</f>
        <v>5429</v>
      </c>
    </row>
    <row r="16" customFormat="false" ht="15" hidden="false" customHeight="false" outlineLevel="0" collapsed="false">
      <c r="A16" s="4" t="s">
        <v>22</v>
      </c>
      <c r="B16" s="5" t="n">
        <v>-8004</v>
      </c>
      <c r="C16" s="5" t="n">
        <v>0</v>
      </c>
      <c r="D16" s="5" t="n">
        <v>4971</v>
      </c>
      <c r="E16" s="5" t="n">
        <f aca="false">B16+C16+D16</f>
        <v>-3033</v>
      </c>
      <c r="F16" s="6" t="n">
        <f aca="false">E16/$J$1</f>
        <v>-0.004044</v>
      </c>
      <c r="G16" s="5" t="n">
        <f aca="false">G15+E16</f>
        <v>2396</v>
      </c>
    </row>
    <row r="17" customFormat="false" ht="15" hidden="false" customHeight="false" outlineLevel="0" collapsed="false">
      <c r="A17" s="4" t="s">
        <v>23</v>
      </c>
      <c r="B17" s="5" t="n">
        <v>-2137</v>
      </c>
      <c r="C17" s="5" t="n">
        <v>0</v>
      </c>
      <c r="D17" s="5" t="n">
        <v>5484</v>
      </c>
      <c r="E17" s="5" t="n">
        <f aca="false">B17+C17+D17</f>
        <v>3347</v>
      </c>
      <c r="F17" s="6" t="n">
        <f aca="false">E17/$J$1</f>
        <v>0.00446266666666667</v>
      </c>
      <c r="G17" s="5" t="n">
        <f aca="false">G16+E17</f>
        <v>5743</v>
      </c>
    </row>
    <row r="18" customFormat="false" ht="15" hidden="false" customHeight="false" outlineLevel="0" collapsed="false">
      <c r="A18" s="4" t="s">
        <v>24</v>
      </c>
      <c r="B18" s="5" t="n">
        <v>1098</v>
      </c>
      <c r="C18" s="5" t="n">
        <v>0</v>
      </c>
      <c r="D18" s="5" t="n">
        <v>0</v>
      </c>
      <c r="E18" s="5" t="n">
        <f aca="false">B18+C18+D18</f>
        <v>1098</v>
      </c>
      <c r="F18" s="6" t="n">
        <f aca="false">E18/$J$1</f>
        <v>0.001464</v>
      </c>
      <c r="G18" s="5" t="n">
        <f aca="false">G17+E18</f>
        <v>6841</v>
      </c>
    </row>
    <row r="19" customFormat="false" ht="15" hidden="false" customHeight="false" outlineLevel="0" collapsed="false">
      <c r="A19" s="4" t="s">
        <v>25</v>
      </c>
      <c r="B19" s="5" t="n">
        <v>-1480</v>
      </c>
      <c r="C19" s="5" t="n">
        <v>0</v>
      </c>
      <c r="D19" s="5" t="n">
        <v>0</v>
      </c>
      <c r="E19" s="5" t="n">
        <f aca="false">B19+C19+D19</f>
        <v>-1480</v>
      </c>
      <c r="F19" s="6" t="n">
        <f aca="false">E19/$J$1</f>
        <v>-0.00197333333333333</v>
      </c>
      <c r="G19" s="5" t="n">
        <f aca="false">G18+E19</f>
        <v>5361</v>
      </c>
    </row>
    <row r="20" customFormat="false" ht="15" hidden="false" customHeight="false" outlineLevel="0" collapsed="false">
      <c r="A20" s="4" t="s">
        <v>26</v>
      </c>
      <c r="B20" s="5" t="n">
        <v>-3778</v>
      </c>
      <c r="C20" s="5" t="n">
        <v>0</v>
      </c>
      <c r="D20" s="5" t="n">
        <v>5154</v>
      </c>
      <c r="E20" s="5" t="n">
        <f aca="false">B20+C20+D20</f>
        <v>1376</v>
      </c>
      <c r="F20" s="6" t="n">
        <f aca="false">E20/$J$1</f>
        <v>0.00183466666666667</v>
      </c>
      <c r="G20" s="5" t="n">
        <f aca="false">G19+E20</f>
        <v>6737</v>
      </c>
    </row>
    <row r="21" customFormat="false" ht="15" hidden="false" customHeight="false" outlineLevel="0" collapsed="false">
      <c r="A21" s="4" t="s">
        <v>27</v>
      </c>
      <c r="B21" s="5" t="n">
        <v>-424</v>
      </c>
      <c r="C21" s="5" t="n">
        <v>0</v>
      </c>
      <c r="D21" s="5" t="n">
        <v>11965</v>
      </c>
      <c r="E21" s="5" t="n">
        <f aca="false">B21+C21+D21</f>
        <v>11541</v>
      </c>
      <c r="F21" s="6" t="n">
        <f aca="false">E21/$J$1</f>
        <v>0.015388</v>
      </c>
      <c r="G21" s="5" t="n">
        <f aca="false">G20+E21</f>
        <v>18278</v>
      </c>
    </row>
    <row r="22" customFormat="false" ht="15" hidden="false" customHeight="false" outlineLevel="0" collapsed="false">
      <c r="A22" s="4" t="s">
        <v>28</v>
      </c>
      <c r="B22" s="5" t="n">
        <v>-909</v>
      </c>
      <c r="C22" s="5" t="n">
        <v>0</v>
      </c>
      <c r="D22" s="5" t="n">
        <v>-6889</v>
      </c>
      <c r="E22" s="5" t="n">
        <f aca="false">B22+C22+D22</f>
        <v>-7798</v>
      </c>
      <c r="F22" s="6" t="n">
        <f aca="false">E22/$J$1</f>
        <v>-0.0103973333333333</v>
      </c>
      <c r="G22" s="5" t="n">
        <f aca="false">G21+E22</f>
        <v>10480</v>
      </c>
    </row>
    <row r="23" customFormat="false" ht="15" hidden="false" customHeight="false" outlineLevel="0" collapsed="false">
      <c r="A23" s="4" t="s">
        <v>29</v>
      </c>
      <c r="B23" s="5" t="n">
        <v>-625</v>
      </c>
      <c r="C23" s="5" t="n">
        <v>0</v>
      </c>
      <c r="D23" s="5" t="n">
        <v>24505</v>
      </c>
      <c r="E23" s="5" t="n">
        <f aca="false">B23+C23+D23</f>
        <v>23880</v>
      </c>
      <c r="F23" s="6" t="n">
        <f aca="false">E23/$J$1</f>
        <v>0.03184</v>
      </c>
      <c r="G23" s="5" t="n">
        <f aca="false">G22+E23</f>
        <v>34360</v>
      </c>
    </row>
    <row r="24" customFormat="false" ht="15" hidden="false" customHeight="false" outlineLevel="0" collapsed="false">
      <c r="A24" s="4" t="s">
        <v>30</v>
      </c>
      <c r="B24" s="5" t="n">
        <v>-163</v>
      </c>
      <c r="C24" s="5" t="n">
        <v>0</v>
      </c>
      <c r="D24" s="5" t="n">
        <v>19929</v>
      </c>
      <c r="E24" s="5" t="n">
        <f aca="false">B24+C24+D24</f>
        <v>19766</v>
      </c>
      <c r="F24" s="6" t="n">
        <f aca="false">E24/$J$1</f>
        <v>0.0263546666666667</v>
      </c>
      <c r="G24" s="5" t="n">
        <f aca="false">G23+E24</f>
        <v>54126</v>
      </c>
    </row>
    <row r="25" customFormat="false" ht="15" hidden="false" customHeight="false" outlineLevel="0" collapsed="false">
      <c r="A25" s="4" t="s">
        <v>31</v>
      </c>
      <c r="B25" s="5" t="n">
        <v>3742</v>
      </c>
      <c r="C25" s="5" t="n">
        <v>0</v>
      </c>
      <c r="D25" s="5" t="n">
        <v>-26413</v>
      </c>
      <c r="E25" s="5" t="n">
        <f aca="false">B25+C25+D25</f>
        <v>-22671</v>
      </c>
      <c r="F25" s="6" t="n">
        <f aca="false">E25/$J$1</f>
        <v>-0.030228</v>
      </c>
      <c r="G25" s="5" t="n">
        <f aca="false">G24+E25</f>
        <v>31455</v>
      </c>
    </row>
    <row r="26" customFormat="false" ht="15" hidden="false" customHeight="false" outlineLevel="0" collapsed="false">
      <c r="A26" s="4" t="s">
        <v>32</v>
      </c>
      <c r="B26" s="5" t="n">
        <v>-1011</v>
      </c>
      <c r="C26" s="5" t="n">
        <v>0</v>
      </c>
      <c r="D26" s="5" t="n">
        <v>-35973</v>
      </c>
      <c r="E26" s="5" t="n">
        <f aca="false">B26+C26+D26</f>
        <v>-36984</v>
      </c>
      <c r="F26" s="6" t="n">
        <f aca="false">E26/$J$1</f>
        <v>-0.049312</v>
      </c>
      <c r="G26" s="5" t="n">
        <f aca="false">G25+E26</f>
        <v>-5529</v>
      </c>
    </row>
    <row r="27" customFormat="false" ht="15" hidden="false" customHeight="false" outlineLevel="0" collapsed="false">
      <c r="A27" s="4" t="s">
        <v>33</v>
      </c>
      <c r="B27" s="5" t="n">
        <v>994</v>
      </c>
      <c r="C27" s="5" t="n">
        <v>0</v>
      </c>
      <c r="D27" s="5" t="n">
        <v>-12497</v>
      </c>
      <c r="E27" s="5" t="n">
        <f aca="false">B27+C27+D27</f>
        <v>-11503</v>
      </c>
      <c r="F27" s="6" t="n">
        <f aca="false">E27/$J$1</f>
        <v>-0.0153373333333333</v>
      </c>
      <c r="G27" s="5" t="n">
        <f aca="false">G26+E27</f>
        <v>-17032</v>
      </c>
    </row>
    <row r="28" customFormat="false" ht="15" hidden="false" customHeight="false" outlineLevel="0" collapsed="false">
      <c r="A28" s="4" t="s">
        <v>34</v>
      </c>
      <c r="B28" s="5" t="n">
        <v>-2587</v>
      </c>
      <c r="C28" s="5" t="n">
        <v>0</v>
      </c>
      <c r="D28" s="5" t="n">
        <v>25720</v>
      </c>
      <c r="E28" s="5" t="n">
        <f aca="false">B28+C28+D28</f>
        <v>23133</v>
      </c>
      <c r="F28" s="6" t="n">
        <f aca="false">E28/$J$1</f>
        <v>0.030844</v>
      </c>
      <c r="G28" s="5" t="n">
        <f aca="false">G27+E28</f>
        <v>6101</v>
      </c>
    </row>
    <row r="29" customFormat="false" ht="15" hidden="false" customHeight="false" outlineLevel="0" collapsed="false">
      <c r="A29" s="4" t="s">
        <v>35</v>
      </c>
      <c r="B29" s="5" t="n">
        <v>302</v>
      </c>
      <c r="C29" s="5" t="n">
        <v>0</v>
      </c>
      <c r="D29" s="5" t="n">
        <v>8754</v>
      </c>
      <c r="E29" s="5" t="n">
        <f aca="false">B29+C29+D29</f>
        <v>9056</v>
      </c>
      <c r="F29" s="6" t="n">
        <f aca="false">E29/$J$1</f>
        <v>0.0120746666666667</v>
      </c>
      <c r="G29" s="5" t="n">
        <f aca="false">G28+E29</f>
        <v>15157</v>
      </c>
    </row>
    <row r="30" customFormat="false" ht="15" hidden="false" customHeight="false" outlineLevel="0" collapsed="false">
      <c r="A30" s="4" t="s">
        <v>36</v>
      </c>
      <c r="B30" s="5" t="n">
        <v>4877</v>
      </c>
      <c r="C30" s="5" t="n">
        <v>0</v>
      </c>
      <c r="D30" s="5" t="n">
        <v>-15321</v>
      </c>
      <c r="E30" s="5" t="n">
        <f aca="false">B30+C30+D30</f>
        <v>-10444</v>
      </c>
      <c r="F30" s="6" t="n">
        <f aca="false">E30/$J$1</f>
        <v>-0.0139253333333333</v>
      </c>
      <c r="G30" s="5" t="n">
        <f aca="false">G29+E30</f>
        <v>4713</v>
      </c>
    </row>
    <row r="31" customFormat="false" ht="15" hidden="false" customHeight="false" outlineLevel="0" collapsed="false">
      <c r="A31" s="4" t="s">
        <v>37</v>
      </c>
      <c r="B31" s="5" t="n">
        <v>-1806</v>
      </c>
      <c r="C31" s="5" t="n">
        <v>0</v>
      </c>
      <c r="D31" s="5" t="n">
        <v>21886</v>
      </c>
      <c r="E31" s="5" t="n">
        <f aca="false">B31+C31+D31</f>
        <v>20080</v>
      </c>
      <c r="F31" s="6" t="n">
        <f aca="false">E31/$J$1</f>
        <v>0.0267733333333333</v>
      </c>
      <c r="G31" s="5" t="n">
        <f aca="false">G30+E31</f>
        <v>24793</v>
      </c>
    </row>
    <row r="32" customFormat="false" ht="15" hidden="false" customHeight="false" outlineLevel="0" collapsed="false">
      <c r="A32" s="4" t="s">
        <v>38</v>
      </c>
      <c r="B32" s="5" t="n">
        <v>-4131</v>
      </c>
      <c r="C32" s="5" t="n">
        <v>0</v>
      </c>
      <c r="D32" s="5" t="n">
        <v>9146</v>
      </c>
      <c r="E32" s="5" t="n">
        <f aca="false">B32+C32+D32</f>
        <v>5015</v>
      </c>
      <c r="F32" s="6" t="n">
        <f aca="false">E32/$J$1</f>
        <v>0.00668666666666667</v>
      </c>
      <c r="G32" s="5" t="n">
        <f aca="false">G31+E32</f>
        <v>29808</v>
      </c>
    </row>
    <row r="33" customFormat="false" ht="15" hidden="false" customHeight="false" outlineLevel="0" collapsed="false">
      <c r="A33" s="4" t="s">
        <v>39</v>
      </c>
      <c r="B33" s="5" t="n">
        <v>15318</v>
      </c>
      <c r="C33" s="5" t="n">
        <v>0</v>
      </c>
      <c r="D33" s="5" t="n">
        <v>33561</v>
      </c>
      <c r="E33" s="5" t="n">
        <f aca="false">B33+C33+D33</f>
        <v>48879</v>
      </c>
      <c r="F33" s="6" t="n">
        <f aca="false">E33/$J$1</f>
        <v>0.065172</v>
      </c>
      <c r="G33" s="5" t="n">
        <f aca="false">G32+E33</f>
        <v>78687</v>
      </c>
    </row>
    <row r="34" customFormat="false" ht="15" hidden="false" customHeight="false" outlineLevel="0" collapsed="false">
      <c r="A34" s="4" t="s">
        <v>40</v>
      </c>
      <c r="B34" s="5" t="n">
        <v>-6362</v>
      </c>
      <c r="C34" s="5" t="n">
        <v>0</v>
      </c>
      <c r="D34" s="5" t="n">
        <v>0</v>
      </c>
      <c r="E34" s="5" t="n">
        <f aca="false">B34+C34+D34</f>
        <v>-6362</v>
      </c>
      <c r="F34" s="6" t="n">
        <f aca="false">E34/$J$1</f>
        <v>-0.00848266666666667</v>
      </c>
      <c r="G34" s="5" t="n">
        <f aca="false">G33+E34</f>
        <v>72325</v>
      </c>
    </row>
    <row r="35" customFormat="false" ht="15" hidden="false" customHeight="false" outlineLevel="0" collapsed="false">
      <c r="A35" s="4" t="s">
        <v>41</v>
      </c>
      <c r="B35" s="5" t="n">
        <v>4887</v>
      </c>
      <c r="C35" s="5" t="n">
        <v>0</v>
      </c>
      <c r="D35" s="5" t="n">
        <v>0</v>
      </c>
      <c r="E35" s="5" t="n">
        <f aca="false">B35+C35+D35</f>
        <v>4887</v>
      </c>
      <c r="F35" s="6" t="n">
        <f aca="false">E35/$J$1</f>
        <v>0.006516</v>
      </c>
      <c r="G35" s="5" t="n">
        <f aca="false">G34+E35</f>
        <v>77212</v>
      </c>
    </row>
    <row r="36" customFormat="false" ht="15" hidden="false" customHeight="false" outlineLevel="0" collapsed="false">
      <c r="A36" s="4" t="s">
        <v>42</v>
      </c>
      <c r="B36" s="5" t="n">
        <v>10102</v>
      </c>
      <c r="C36" s="5" t="n">
        <v>0</v>
      </c>
      <c r="D36" s="5" t="n">
        <v>-13306</v>
      </c>
      <c r="E36" s="5" t="n">
        <f aca="false">B36+C36+D36</f>
        <v>-3204</v>
      </c>
      <c r="F36" s="6" t="n">
        <f aca="false">E36/$J$1</f>
        <v>-0.004272</v>
      </c>
      <c r="G36" s="5" t="n">
        <f aca="false">G35+E36</f>
        <v>74008</v>
      </c>
    </row>
    <row r="37" customFormat="false" ht="15" hidden="false" customHeight="false" outlineLevel="0" collapsed="false">
      <c r="A37" s="4" t="s">
        <v>43</v>
      </c>
      <c r="B37" s="5" t="n">
        <v>2025</v>
      </c>
      <c r="C37" s="5" t="n">
        <v>0</v>
      </c>
      <c r="D37" s="5" t="n">
        <v>84026</v>
      </c>
      <c r="E37" s="5" t="n">
        <f aca="false">B37+C37+D37</f>
        <v>86051</v>
      </c>
      <c r="F37" s="6" t="n">
        <f aca="false">E37/$J$1</f>
        <v>0.114734666666667</v>
      </c>
      <c r="G37" s="5" t="n">
        <f aca="false">G36+E37</f>
        <v>160059</v>
      </c>
    </row>
    <row r="38" customFormat="false" ht="15" hidden="false" customHeight="false" outlineLevel="0" collapsed="false">
      <c r="A38" s="4" t="s">
        <v>44</v>
      </c>
      <c r="B38" s="5" t="n">
        <v>4023</v>
      </c>
      <c r="C38" s="5" t="n">
        <v>0</v>
      </c>
      <c r="D38" s="5" t="n">
        <v>-704</v>
      </c>
      <c r="E38" s="5" t="n">
        <f aca="false">B38+C38+D38</f>
        <v>3319</v>
      </c>
      <c r="F38" s="6" t="n">
        <f aca="false">E38/$J$1</f>
        <v>0.00442533333333333</v>
      </c>
      <c r="G38" s="5" t="n">
        <f aca="false">G37+E38</f>
        <v>163378</v>
      </c>
    </row>
    <row r="39" customFormat="false" ht="15" hidden="false" customHeight="false" outlineLevel="0" collapsed="false">
      <c r="A39" s="4" t="s">
        <v>45</v>
      </c>
      <c r="B39" s="5" t="n">
        <v>1137</v>
      </c>
      <c r="C39" s="5" t="n">
        <v>0</v>
      </c>
      <c r="D39" s="5" t="n">
        <v>9219</v>
      </c>
      <c r="E39" s="5" t="n">
        <f aca="false">B39+C39+D39</f>
        <v>10356</v>
      </c>
      <c r="F39" s="6" t="n">
        <f aca="false">E39/$J$1</f>
        <v>0.013808</v>
      </c>
      <c r="G39" s="5" t="n">
        <f aca="false">G38+E39</f>
        <v>173734</v>
      </c>
    </row>
    <row r="40" customFormat="false" ht="15" hidden="false" customHeight="false" outlineLevel="0" collapsed="false">
      <c r="A40" s="4" t="s">
        <v>46</v>
      </c>
      <c r="B40" s="5" t="n">
        <v>5191</v>
      </c>
      <c r="C40" s="5" t="n">
        <v>0</v>
      </c>
      <c r="D40" s="5" t="n">
        <v>8054</v>
      </c>
      <c r="E40" s="5" t="n">
        <f aca="false">B40+C40+D40</f>
        <v>13245</v>
      </c>
      <c r="F40" s="6" t="n">
        <f aca="false">E40/$J$1</f>
        <v>0.01766</v>
      </c>
      <c r="G40" s="5" t="n">
        <f aca="false">G39+E40</f>
        <v>186979</v>
      </c>
    </row>
    <row r="41" customFormat="false" ht="15" hidden="false" customHeight="false" outlineLevel="0" collapsed="false">
      <c r="A41" s="4" t="s">
        <v>47</v>
      </c>
      <c r="B41" s="5" t="n">
        <v>1478</v>
      </c>
      <c r="C41" s="5" t="n">
        <v>0</v>
      </c>
      <c r="D41" s="5" t="n">
        <v>-3497</v>
      </c>
      <c r="E41" s="5" t="n">
        <f aca="false">B41+C41+D41</f>
        <v>-2019</v>
      </c>
      <c r="F41" s="6" t="n">
        <f aca="false">E41/$J$1</f>
        <v>-0.002692</v>
      </c>
      <c r="G41" s="5" t="n">
        <f aca="false">G40+E41</f>
        <v>184960</v>
      </c>
    </row>
    <row r="42" customFormat="false" ht="15" hidden="false" customHeight="false" outlineLevel="0" collapsed="false">
      <c r="A42" s="4" t="s">
        <v>48</v>
      </c>
      <c r="B42" s="5" t="n">
        <v>-28045</v>
      </c>
      <c r="C42" s="5" t="n">
        <v>0</v>
      </c>
      <c r="D42" s="5" t="n">
        <v>-43127</v>
      </c>
      <c r="E42" s="5" t="n">
        <f aca="false">B42+C42+D42</f>
        <v>-71172</v>
      </c>
      <c r="F42" s="6" t="n">
        <f aca="false">E42/$J$1</f>
        <v>-0.094896</v>
      </c>
      <c r="G42" s="5" t="n">
        <f aca="false">G41+E42</f>
        <v>113788</v>
      </c>
    </row>
    <row r="43" customFormat="false" ht="15" hidden="false" customHeight="false" outlineLevel="0" collapsed="false">
      <c r="A43" s="4" t="s">
        <v>49</v>
      </c>
      <c r="B43" s="5" t="n">
        <v>-11348</v>
      </c>
      <c r="C43" s="5" t="n">
        <v>0</v>
      </c>
      <c r="D43" s="5" t="n">
        <v>26021</v>
      </c>
      <c r="E43" s="5" t="n">
        <f aca="false">B43+C43+D43</f>
        <v>14673</v>
      </c>
      <c r="F43" s="6" t="n">
        <f aca="false">E43/$J$1</f>
        <v>0.019564</v>
      </c>
      <c r="G43" s="5" t="n">
        <f aca="false">G42+E43</f>
        <v>128461</v>
      </c>
    </row>
    <row r="44" customFormat="false" ht="15" hidden="false" customHeight="false" outlineLevel="0" collapsed="false">
      <c r="A44" s="4" t="s">
        <v>50</v>
      </c>
      <c r="B44" s="5" t="n">
        <v>13924</v>
      </c>
      <c r="C44" s="5" t="n">
        <v>0</v>
      </c>
      <c r="D44" s="5" t="n">
        <v>2412</v>
      </c>
      <c r="E44" s="5" t="n">
        <f aca="false">B44+C44+D44</f>
        <v>16336</v>
      </c>
      <c r="F44" s="6" t="n">
        <f aca="false">E44/$J$1</f>
        <v>0.0217813333333333</v>
      </c>
      <c r="G44" s="5" t="n">
        <f aca="false">G43+E44</f>
        <v>144797</v>
      </c>
    </row>
    <row r="45" customFormat="false" ht="15" hidden="false" customHeight="false" outlineLevel="0" collapsed="false">
      <c r="A45" s="4" t="s">
        <v>51</v>
      </c>
      <c r="B45" s="5" t="n">
        <v>69554</v>
      </c>
      <c r="C45" s="5" t="n">
        <v>0</v>
      </c>
      <c r="D45" s="5" t="n">
        <v>-32102</v>
      </c>
      <c r="E45" s="5" t="n">
        <f aca="false">B45+C45+D45</f>
        <v>37452</v>
      </c>
      <c r="F45" s="6" t="n">
        <f aca="false">E45/$J$1</f>
        <v>0.049936</v>
      </c>
      <c r="G45" s="5" t="n">
        <f aca="false">G44+E45</f>
        <v>182249</v>
      </c>
    </row>
    <row r="46" customFormat="false" ht="15" hidden="false" customHeight="false" outlineLevel="0" collapsed="false">
      <c r="A46" s="4" t="s">
        <v>52</v>
      </c>
      <c r="B46" s="5" t="n">
        <v>2463</v>
      </c>
      <c r="C46" s="5" t="n">
        <v>0</v>
      </c>
      <c r="D46" s="5" t="n">
        <v>0</v>
      </c>
      <c r="E46" s="5" t="n">
        <f aca="false">B46+C46+D46</f>
        <v>2463</v>
      </c>
      <c r="F46" s="6" t="n">
        <f aca="false">E46/$J$1</f>
        <v>0.003284</v>
      </c>
      <c r="G46" s="5" t="n">
        <f aca="false">G45+E46</f>
        <v>184712</v>
      </c>
    </row>
    <row r="47" customFormat="false" ht="15" hidden="false" customHeight="false" outlineLevel="0" collapsed="false">
      <c r="A47" s="4" t="s">
        <v>53</v>
      </c>
      <c r="B47" s="5" t="n">
        <v>881</v>
      </c>
      <c r="C47" s="5" t="n">
        <v>0</v>
      </c>
      <c r="D47" s="5" t="n">
        <v>2124</v>
      </c>
      <c r="E47" s="5" t="n">
        <f aca="false">B47+C47+D47</f>
        <v>3005</v>
      </c>
      <c r="F47" s="6" t="n">
        <f aca="false">E47/$J$1</f>
        <v>0.00400666666666667</v>
      </c>
      <c r="G47" s="5" t="n">
        <f aca="false">G46+E47</f>
        <v>187717</v>
      </c>
    </row>
    <row r="48" customFormat="false" ht="15" hidden="false" customHeight="false" outlineLevel="0" collapsed="false">
      <c r="A48" s="4" t="s">
        <v>54</v>
      </c>
      <c r="B48" s="5" t="n">
        <v>18175</v>
      </c>
      <c r="C48" s="5" t="n">
        <v>0</v>
      </c>
      <c r="D48" s="5" t="n">
        <v>42994</v>
      </c>
      <c r="E48" s="5" t="n">
        <f aca="false">B48+C48+D48</f>
        <v>61169</v>
      </c>
      <c r="F48" s="6" t="n">
        <f aca="false">E48/$J$1</f>
        <v>0.0815586666666667</v>
      </c>
      <c r="G48" s="5" t="n">
        <f aca="false">G47+E48</f>
        <v>248886</v>
      </c>
    </row>
    <row r="49" customFormat="false" ht="15" hidden="false" customHeight="false" outlineLevel="0" collapsed="false">
      <c r="A49" s="4" t="s">
        <v>55</v>
      </c>
      <c r="B49" s="5" t="n">
        <v>20070</v>
      </c>
      <c r="C49" s="5" t="n">
        <v>0</v>
      </c>
      <c r="D49" s="5" t="n">
        <v>15430</v>
      </c>
      <c r="E49" s="5" t="n">
        <f aca="false">B49+C49+D49</f>
        <v>35500</v>
      </c>
      <c r="F49" s="6" t="n">
        <f aca="false">E49/$J$1</f>
        <v>0.0473333333333333</v>
      </c>
      <c r="G49" s="5" t="n">
        <f aca="false">G48+E49</f>
        <v>284386</v>
      </c>
    </row>
    <row r="50" customFormat="false" ht="15" hidden="false" customHeight="false" outlineLevel="0" collapsed="false">
      <c r="A50" s="4" t="s">
        <v>56</v>
      </c>
      <c r="B50" s="5" t="n">
        <v>21952</v>
      </c>
      <c r="C50" s="5" t="n">
        <v>0</v>
      </c>
      <c r="D50" s="5" t="n">
        <v>26434</v>
      </c>
      <c r="E50" s="5" t="n">
        <f aca="false">B50+C50+D50</f>
        <v>48386</v>
      </c>
      <c r="F50" s="6" t="n">
        <f aca="false">E50/$J$1</f>
        <v>0.0645146666666667</v>
      </c>
      <c r="G50" s="5" t="n">
        <f aca="false">G49+E50</f>
        <v>332772</v>
      </c>
    </row>
    <row r="51" customFormat="false" ht="15" hidden="false" customHeight="false" outlineLevel="0" collapsed="false">
      <c r="A51" s="4" t="s">
        <v>57</v>
      </c>
      <c r="B51" s="5" t="n">
        <v>-4052</v>
      </c>
      <c r="C51" s="5" t="n">
        <v>0</v>
      </c>
      <c r="D51" s="5" t="n">
        <v>68190</v>
      </c>
      <c r="E51" s="5" t="n">
        <f aca="false">B51+C51+D51</f>
        <v>64138</v>
      </c>
      <c r="F51" s="6" t="n">
        <f aca="false">E51/$J$1</f>
        <v>0.0855173333333333</v>
      </c>
      <c r="G51" s="5" t="n">
        <f aca="false">G50+E51</f>
        <v>396910</v>
      </c>
    </row>
    <row r="52" customFormat="false" ht="15" hidden="false" customHeight="false" outlineLevel="0" collapsed="false">
      <c r="A52" s="4" t="s">
        <v>58</v>
      </c>
      <c r="B52" s="5" t="n">
        <v>38324</v>
      </c>
      <c r="C52" s="5" t="n">
        <v>0</v>
      </c>
      <c r="D52" s="5" t="n">
        <v>-1487</v>
      </c>
      <c r="E52" s="5" t="n">
        <f aca="false">B52+C52+D52</f>
        <v>36837</v>
      </c>
      <c r="F52" s="6" t="n">
        <f aca="false">E52/$J$1</f>
        <v>0.049116</v>
      </c>
      <c r="G52" s="5" t="n">
        <f aca="false">G51+E52</f>
        <v>433747</v>
      </c>
    </row>
    <row r="53" customFormat="false" ht="15" hidden="false" customHeight="false" outlineLevel="0" collapsed="false">
      <c r="A53" s="4" t="s">
        <v>59</v>
      </c>
      <c r="B53" s="5" t="n">
        <v>14291</v>
      </c>
      <c r="C53" s="5" t="n">
        <v>0</v>
      </c>
      <c r="D53" s="5" t="n">
        <v>34352</v>
      </c>
      <c r="E53" s="5" t="n">
        <f aca="false">B53+C53+D53</f>
        <v>48643</v>
      </c>
      <c r="F53" s="6" t="n">
        <f aca="false">E53/$J$1</f>
        <v>0.0648573333333333</v>
      </c>
      <c r="G53" s="5" t="n">
        <f aca="false">G52+E53</f>
        <v>482390</v>
      </c>
    </row>
    <row r="54" customFormat="false" ht="15" hidden="false" customHeight="false" outlineLevel="0" collapsed="false">
      <c r="A54" s="4" t="s">
        <v>60</v>
      </c>
      <c r="B54" s="5" t="n">
        <v>32112</v>
      </c>
      <c r="C54" s="5" t="n">
        <v>0</v>
      </c>
      <c r="D54" s="5" t="n">
        <v>0</v>
      </c>
      <c r="E54" s="5" t="n">
        <f aca="false">B54+C54+D54</f>
        <v>32112</v>
      </c>
      <c r="F54" s="6" t="n">
        <f aca="false">E54/$J$1</f>
        <v>0.042816</v>
      </c>
      <c r="G54" s="5" t="n">
        <f aca="false">G53+E54</f>
        <v>514502</v>
      </c>
    </row>
    <row r="55" customFormat="false" ht="15" hidden="false" customHeight="false" outlineLevel="0" collapsed="false">
      <c r="A55" s="4" t="s">
        <v>61</v>
      </c>
      <c r="B55" s="5" t="n">
        <v>21148</v>
      </c>
      <c r="C55" s="5" t="n">
        <v>0</v>
      </c>
      <c r="D55" s="5" t="n">
        <v>-22009</v>
      </c>
      <c r="E55" s="5" t="n">
        <f aca="false">B55+C55+D55</f>
        <v>-861</v>
      </c>
      <c r="F55" s="6" t="n">
        <f aca="false">E55/$J$1</f>
        <v>-0.001148</v>
      </c>
      <c r="G55" s="5" t="n">
        <f aca="false">G54+E55</f>
        <v>513641</v>
      </c>
    </row>
    <row r="56" customFormat="false" ht="15" hidden="false" customHeight="false" outlineLevel="0" collapsed="false">
      <c r="A56" s="4" t="s">
        <v>62</v>
      </c>
      <c r="B56" s="5" t="n">
        <v>-18760</v>
      </c>
      <c r="C56" s="5" t="n">
        <v>0</v>
      </c>
      <c r="D56" s="5" t="n">
        <v>0</v>
      </c>
      <c r="E56" s="5" t="n">
        <f aca="false">B56+C56+D56</f>
        <v>-18760</v>
      </c>
      <c r="F56" s="6" t="n">
        <f aca="false">E56/$J$1</f>
        <v>-0.0250133333333333</v>
      </c>
      <c r="G56" s="5" t="n">
        <f aca="false">G55+E56</f>
        <v>494881</v>
      </c>
    </row>
    <row r="57" customFormat="false" ht="15" hidden="false" customHeight="false" outlineLevel="0" collapsed="false">
      <c r="A57" s="4" t="s">
        <v>63</v>
      </c>
      <c r="B57" s="5" t="n">
        <v>20186</v>
      </c>
      <c r="C57" s="5" t="n">
        <v>0</v>
      </c>
      <c r="D57" s="5" t="n">
        <v>-8531</v>
      </c>
      <c r="E57" s="5" t="n">
        <f aca="false">B57+C57+D57</f>
        <v>11655</v>
      </c>
      <c r="F57" s="6" t="n">
        <f aca="false">E57/$J$1</f>
        <v>0.01554</v>
      </c>
      <c r="G57" s="5" t="n">
        <f aca="false">G56+E57</f>
        <v>506536</v>
      </c>
    </row>
    <row r="58" customFormat="false" ht="15" hidden="false" customHeight="false" outlineLevel="0" collapsed="false">
      <c r="A58" s="4" t="s">
        <v>64</v>
      </c>
      <c r="B58" s="5" t="n">
        <v>7703</v>
      </c>
      <c r="C58" s="5" t="n">
        <v>0</v>
      </c>
      <c r="D58" s="5" t="n">
        <v>1168</v>
      </c>
      <c r="E58" s="5" t="n">
        <f aca="false">B58+C58+D58</f>
        <v>8871</v>
      </c>
      <c r="F58" s="6" t="n">
        <f aca="false">E58/$J$1</f>
        <v>0.011828</v>
      </c>
      <c r="G58" s="5" t="n">
        <f aca="false">G57+E58</f>
        <v>515407</v>
      </c>
    </row>
    <row r="59" customFormat="false" ht="15" hidden="false" customHeight="false" outlineLevel="0" collapsed="false">
      <c r="A59" s="4" t="s">
        <v>65</v>
      </c>
      <c r="B59" s="5" t="n">
        <v>21636</v>
      </c>
      <c r="C59" s="5" t="n">
        <v>0</v>
      </c>
      <c r="D59" s="5" t="n">
        <v>31176</v>
      </c>
      <c r="E59" s="5" t="n">
        <f aca="false">B59+C59+D59</f>
        <v>52812</v>
      </c>
      <c r="F59" s="6" t="n">
        <f aca="false">E59/$J$1</f>
        <v>0.070416</v>
      </c>
      <c r="G59" s="5" t="n">
        <f aca="false">G58+E59</f>
        <v>568219</v>
      </c>
    </row>
    <row r="60" customFormat="false" ht="15" hidden="false" customHeight="false" outlineLevel="0" collapsed="false">
      <c r="A60" s="4" t="s">
        <v>66</v>
      </c>
      <c r="B60" s="5" t="n">
        <v>26355</v>
      </c>
      <c r="C60" s="5" t="n">
        <v>0</v>
      </c>
      <c r="D60" s="5" t="n">
        <v>70495</v>
      </c>
      <c r="E60" s="5" t="n">
        <f aca="false">B60+C60+D60</f>
        <v>96850</v>
      </c>
      <c r="F60" s="6" t="n">
        <f aca="false">E60/$J$1</f>
        <v>0.129133333333333</v>
      </c>
      <c r="G60" s="5" t="n">
        <f aca="false">G59+E60</f>
        <v>665069</v>
      </c>
    </row>
    <row r="61" customFormat="false" ht="15" hidden="false" customHeight="false" outlineLevel="0" collapsed="false">
      <c r="A61" s="4" t="s">
        <v>67</v>
      </c>
      <c r="B61" s="5" t="n">
        <v>14523</v>
      </c>
      <c r="C61" s="5" t="n">
        <v>0</v>
      </c>
      <c r="D61" s="5" t="n">
        <v>21484</v>
      </c>
      <c r="E61" s="5" t="n">
        <f aca="false">B61+C61+D61</f>
        <v>36007</v>
      </c>
      <c r="F61" s="6" t="n">
        <f aca="false">E61/$J$1</f>
        <v>0.0480093333333333</v>
      </c>
      <c r="G61" s="5" t="n">
        <f aca="false">G60+E61</f>
        <v>701076</v>
      </c>
    </row>
    <row r="62" customFormat="false" ht="15" hidden="false" customHeight="false" outlineLevel="0" collapsed="false">
      <c r="A62" s="4" t="s">
        <v>68</v>
      </c>
      <c r="B62" s="5" t="n">
        <v>61596</v>
      </c>
      <c r="C62" s="5" t="n">
        <v>0</v>
      </c>
      <c r="D62" s="5" t="n">
        <v>-11304</v>
      </c>
      <c r="E62" s="5" t="n">
        <f aca="false">B62+C62+D62</f>
        <v>50292</v>
      </c>
      <c r="F62" s="6" t="n">
        <f aca="false">E62/$J$1</f>
        <v>0.067056</v>
      </c>
      <c r="G62" s="5" t="n">
        <f aca="false">G61+E62</f>
        <v>751368</v>
      </c>
    </row>
    <row r="63" customFormat="false" ht="15" hidden="false" customHeight="false" outlineLevel="0" collapsed="false">
      <c r="A63" s="4" t="s">
        <v>69</v>
      </c>
      <c r="B63" s="5" t="n">
        <v>33899</v>
      </c>
      <c r="C63" s="5" t="n">
        <v>0</v>
      </c>
      <c r="D63" s="5" t="n">
        <v>26684</v>
      </c>
      <c r="E63" s="5" t="n">
        <f aca="false">B63+C63+D63</f>
        <v>60583</v>
      </c>
      <c r="F63" s="6" t="n">
        <f aca="false">E63/$J$1</f>
        <v>0.0807773333333333</v>
      </c>
      <c r="G63" s="5" t="n">
        <f aca="false">G62+E63</f>
        <v>811951</v>
      </c>
    </row>
    <row r="64" customFormat="false" ht="15" hidden="false" customHeight="false" outlineLevel="0" collapsed="false">
      <c r="A64" s="4" t="s">
        <v>70</v>
      </c>
      <c r="B64" s="5" t="n">
        <v>6018</v>
      </c>
      <c r="C64" s="5" t="n">
        <v>0</v>
      </c>
      <c r="D64" s="5" t="n">
        <v>25582</v>
      </c>
      <c r="E64" s="5" t="n">
        <f aca="false">B64+C64+D64</f>
        <v>31600</v>
      </c>
      <c r="F64" s="6" t="n">
        <f aca="false">E64/$J$1</f>
        <v>0.0421333333333333</v>
      </c>
      <c r="G64" s="5" t="n">
        <f aca="false">G63+E64</f>
        <v>843551</v>
      </c>
    </row>
    <row r="65" customFormat="false" ht="15" hidden="false" customHeight="false" outlineLevel="0" collapsed="false">
      <c r="A65" s="4" t="s">
        <v>71</v>
      </c>
      <c r="B65" s="5" t="n">
        <v>-11524</v>
      </c>
      <c r="C65" s="5" t="n">
        <v>0</v>
      </c>
      <c r="D65" s="5" t="n">
        <v>10278</v>
      </c>
      <c r="E65" s="5" t="n">
        <f aca="false">B65+C65+D65</f>
        <v>-1246</v>
      </c>
      <c r="F65" s="6" t="n">
        <f aca="false">E65/$J$1</f>
        <v>-0.00166133333333333</v>
      </c>
      <c r="G65" s="5" t="n">
        <f aca="false">G64+E65</f>
        <v>842305</v>
      </c>
    </row>
    <row r="66" customFormat="false" ht="15" hidden="false" customHeight="false" outlineLevel="0" collapsed="false">
      <c r="A66" s="4" t="s">
        <v>72</v>
      </c>
      <c r="B66" s="5" t="n">
        <v>-7550</v>
      </c>
      <c r="C66" s="5" t="n">
        <v>0</v>
      </c>
      <c r="D66" s="5" t="n">
        <v>0</v>
      </c>
      <c r="E66" s="5" t="n">
        <f aca="false">B66+C66+D66</f>
        <v>-7550</v>
      </c>
      <c r="F66" s="6" t="n">
        <f aca="false">E66/$J$1</f>
        <v>-0.0100666666666667</v>
      </c>
      <c r="G66" s="5" t="n">
        <f aca="false">G65+E66</f>
        <v>834755</v>
      </c>
    </row>
    <row r="67" customFormat="false" ht="15" hidden="false" customHeight="false" outlineLevel="0" collapsed="false">
      <c r="A67" s="4" t="s">
        <v>73</v>
      </c>
      <c r="B67" s="5" t="n">
        <v>72331</v>
      </c>
      <c r="C67" s="5" t="n">
        <v>0</v>
      </c>
      <c r="D67" s="5" t="n">
        <v>95772</v>
      </c>
      <c r="E67" s="5" t="n">
        <f aca="false">B67+C67+D67</f>
        <v>168103</v>
      </c>
      <c r="F67" s="6" t="n">
        <f aca="false">E67/$J$1</f>
        <v>0.224137333333333</v>
      </c>
      <c r="G67" s="5" t="n">
        <f aca="false">G66+E67</f>
        <v>1002858</v>
      </c>
    </row>
    <row r="68" customFormat="false" ht="15" hidden="false" customHeight="false" outlineLevel="0" collapsed="false">
      <c r="A68" s="4" t="s">
        <v>74</v>
      </c>
      <c r="B68" s="5" t="n">
        <v>16272</v>
      </c>
      <c r="C68" s="5" t="n">
        <v>0</v>
      </c>
      <c r="D68" s="5" t="n">
        <v>109657</v>
      </c>
      <c r="E68" s="5" t="n">
        <f aca="false">B68+C68+D68</f>
        <v>125929</v>
      </c>
      <c r="F68" s="6" t="n">
        <f aca="false">E68/$J$1</f>
        <v>0.167905333333333</v>
      </c>
      <c r="G68" s="5" t="n">
        <f aca="false">G67+E68</f>
        <v>1128787</v>
      </c>
    </row>
    <row r="69" customFormat="false" ht="15" hidden="false" customHeight="false" outlineLevel="0" collapsed="false">
      <c r="A69" s="4" t="s">
        <v>75</v>
      </c>
      <c r="B69" s="5" t="n">
        <v>-20913</v>
      </c>
      <c r="C69" s="5" t="n">
        <v>0</v>
      </c>
      <c r="D69" s="5" t="n">
        <v>-15014</v>
      </c>
      <c r="E69" s="5" t="n">
        <f aca="false">B69+C69+D69</f>
        <v>-35927</v>
      </c>
      <c r="F69" s="6" t="n">
        <f aca="false">E69/$J$1</f>
        <v>-0.0479026666666667</v>
      </c>
      <c r="G69" s="5" t="n">
        <f aca="false">G68+E69</f>
        <v>1092860</v>
      </c>
    </row>
    <row r="70" customFormat="false" ht="15" hidden="false" customHeight="false" outlineLevel="0" collapsed="false">
      <c r="A70" s="4" t="s">
        <v>76</v>
      </c>
      <c r="B70" s="5" t="n">
        <v>-7397</v>
      </c>
      <c r="C70" s="5" t="n">
        <v>0</v>
      </c>
      <c r="D70" s="5" t="n">
        <v>91308</v>
      </c>
      <c r="E70" s="5" t="n">
        <f aca="false">B70+C70+D70</f>
        <v>83911</v>
      </c>
      <c r="F70" s="6" t="n">
        <f aca="false">E70/$J$1</f>
        <v>0.111881333333333</v>
      </c>
      <c r="G70" s="5" t="n">
        <f aca="false">G69+E70</f>
        <v>1176771</v>
      </c>
    </row>
    <row r="71" customFormat="false" ht="15" hidden="false" customHeight="false" outlineLevel="0" collapsed="false">
      <c r="A71" s="4" t="s">
        <v>77</v>
      </c>
      <c r="B71" s="5" t="n">
        <v>68194</v>
      </c>
      <c r="C71" s="5" t="n">
        <v>0</v>
      </c>
      <c r="D71" s="5" t="n">
        <v>15775</v>
      </c>
      <c r="E71" s="5" t="n">
        <f aca="false">B71+C71+D71</f>
        <v>83969</v>
      </c>
      <c r="F71" s="6" t="n">
        <f aca="false">E71/$J$1</f>
        <v>0.111958666666667</v>
      </c>
      <c r="G71" s="5" t="n">
        <f aca="false">G70+E71</f>
        <v>1260740</v>
      </c>
    </row>
    <row r="72" customFormat="false" ht="15" hidden="false" customHeight="false" outlineLevel="0" collapsed="false">
      <c r="A72" s="4" t="s">
        <v>78</v>
      </c>
      <c r="B72" s="5" t="n">
        <v>41572</v>
      </c>
      <c r="C72" s="5" t="n">
        <v>0</v>
      </c>
      <c r="D72" s="5" t="n">
        <v>0</v>
      </c>
      <c r="E72" s="5" t="n">
        <f aca="false">B72+C72+D72</f>
        <v>41572</v>
      </c>
      <c r="F72" s="6" t="n">
        <f aca="false">E72/$J$1</f>
        <v>0.0554293333333333</v>
      </c>
      <c r="G72" s="5" t="n">
        <f aca="false">G71+E72</f>
        <v>1302312</v>
      </c>
    </row>
    <row r="73" customFormat="false" ht="15" hidden="false" customHeight="false" outlineLevel="0" collapsed="false">
      <c r="A73" s="4" t="s">
        <v>79</v>
      </c>
      <c r="B73" s="5" t="n">
        <v>33510</v>
      </c>
      <c r="C73" s="5" t="n">
        <v>0</v>
      </c>
      <c r="D73" s="5" t="n">
        <v>0</v>
      </c>
      <c r="E73" s="5" t="n">
        <f aca="false">B73+C73+D73</f>
        <v>33510</v>
      </c>
      <c r="F73" s="6" t="n">
        <f aca="false">E73/$J$1</f>
        <v>0.04468</v>
      </c>
      <c r="G73" s="5" t="n">
        <f aca="false">G72+E73</f>
        <v>1335822</v>
      </c>
    </row>
    <row r="74" customFormat="false" ht="15" hidden="false" customHeight="false" outlineLevel="0" collapsed="false">
      <c r="A74" s="4" t="s">
        <v>80</v>
      </c>
      <c r="B74" s="5" t="n">
        <v>53072</v>
      </c>
      <c r="C74" s="5" t="n">
        <v>0</v>
      </c>
      <c r="D74" s="5" t="n">
        <v>-9437</v>
      </c>
      <c r="E74" s="5" t="n">
        <f aca="false">B74+C74+D74</f>
        <v>43635</v>
      </c>
      <c r="F74" s="6" t="n">
        <f aca="false">E74/$J$1</f>
        <v>0.05818</v>
      </c>
      <c r="G74" s="5" t="n">
        <f aca="false">G73+E74</f>
        <v>1379457</v>
      </c>
    </row>
    <row r="75" customFormat="false" ht="15" hidden="false" customHeight="false" outlineLevel="0" collapsed="false">
      <c r="A75" s="4" t="s">
        <v>81</v>
      </c>
      <c r="B75" s="5" t="n">
        <v>49848</v>
      </c>
      <c r="C75" s="5" t="n">
        <v>0</v>
      </c>
      <c r="D75" s="5" t="n">
        <v>20835</v>
      </c>
      <c r="E75" s="5" t="n">
        <f aca="false">B75+C75+D75</f>
        <v>70683</v>
      </c>
      <c r="F75" s="6" t="n">
        <f aca="false">E75/$J$1</f>
        <v>0.094244</v>
      </c>
      <c r="G75" s="5" t="n">
        <f aca="false">G74+E75</f>
        <v>1450140</v>
      </c>
    </row>
    <row r="76" customFormat="false" ht="15" hidden="false" customHeight="false" outlineLevel="0" collapsed="false">
      <c r="A76" s="4" t="s">
        <v>82</v>
      </c>
      <c r="B76" s="5" t="n">
        <v>19467</v>
      </c>
      <c r="C76" s="5" t="n">
        <v>0</v>
      </c>
      <c r="D76" s="5" t="n">
        <v>0</v>
      </c>
      <c r="E76" s="5" t="n">
        <f aca="false">B76+C76+D76</f>
        <v>19467</v>
      </c>
      <c r="F76" s="6" t="n">
        <f aca="false">E76/$J$1</f>
        <v>0.025956</v>
      </c>
      <c r="G76" s="5" t="n">
        <f aca="false">G75+E76</f>
        <v>1469607</v>
      </c>
    </row>
    <row r="77" customFormat="false" ht="15" hidden="false" customHeight="false" outlineLevel="0" collapsed="false">
      <c r="A77" s="4" t="s">
        <v>83</v>
      </c>
      <c r="B77" s="5" t="n">
        <v>18888</v>
      </c>
      <c r="C77" s="5" t="n">
        <v>0</v>
      </c>
      <c r="D77" s="5" t="n">
        <v>0</v>
      </c>
      <c r="E77" s="5" t="n">
        <f aca="false">B77+C77+D77</f>
        <v>18888</v>
      </c>
      <c r="F77" s="6" t="n">
        <f aca="false">E77/$J$1</f>
        <v>0.025184</v>
      </c>
      <c r="G77" s="5" t="n">
        <f aca="false">G76+E77</f>
        <v>1488495</v>
      </c>
    </row>
    <row r="78" customFormat="false" ht="15" hidden="false" customHeight="false" outlineLevel="0" collapsed="false">
      <c r="A78" s="4" t="s">
        <v>84</v>
      </c>
      <c r="B78" s="5" t="n">
        <v>143</v>
      </c>
      <c r="C78" s="5" t="n">
        <v>0</v>
      </c>
      <c r="D78" s="5" t="n">
        <v>0</v>
      </c>
      <c r="E78" s="5" t="n">
        <f aca="false">B78+C78+D78</f>
        <v>143</v>
      </c>
      <c r="F78" s="6" t="n">
        <f aca="false">E78/$J$1</f>
        <v>0.000190666666666667</v>
      </c>
      <c r="G78" s="5" t="n">
        <f aca="false">G77+E78</f>
        <v>1488638</v>
      </c>
    </row>
    <row r="79" customFormat="false" ht="15" hidden="false" customHeight="false" outlineLevel="0" collapsed="false">
      <c r="A79" s="4" t="s">
        <v>85</v>
      </c>
      <c r="B79" s="5" t="n">
        <v>5111</v>
      </c>
      <c r="C79" s="5" t="n">
        <v>0</v>
      </c>
      <c r="D79" s="5" t="n">
        <v>-25694</v>
      </c>
      <c r="E79" s="5" t="n">
        <f aca="false">B79+C79+D79</f>
        <v>-20583</v>
      </c>
      <c r="F79" s="6" t="n">
        <f aca="false">E79/$J$1</f>
        <v>-0.027444</v>
      </c>
      <c r="G79" s="5" t="n">
        <f aca="false">G78+E79</f>
        <v>1468055</v>
      </c>
    </row>
    <row r="80" customFormat="false" ht="15" hidden="false" customHeight="false" outlineLevel="0" collapsed="false">
      <c r="A80" s="4" t="s">
        <v>86</v>
      </c>
      <c r="B80" s="5" t="n">
        <v>-13199</v>
      </c>
      <c r="C80" s="5" t="n">
        <v>0</v>
      </c>
      <c r="D80" s="5" t="n">
        <v>0</v>
      </c>
      <c r="E80" s="5" t="n">
        <f aca="false">B80+C80+D80</f>
        <v>-13199</v>
      </c>
      <c r="F80" s="6" t="n">
        <f aca="false">E80/$J$1</f>
        <v>-0.0175986666666667</v>
      </c>
      <c r="G80" s="5" t="n">
        <f aca="false">G79+E80</f>
        <v>1454856</v>
      </c>
    </row>
    <row r="81" customFormat="false" ht="15" hidden="false" customHeight="false" outlineLevel="0" collapsed="false">
      <c r="A81" s="4" t="s">
        <v>87</v>
      </c>
      <c r="B81" s="5" t="n">
        <v>-5784</v>
      </c>
      <c r="C81" s="5" t="n">
        <v>-2133</v>
      </c>
      <c r="D81" s="5" t="n">
        <v>44145</v>
      </c>
      <c r="E81" s="5" t="n">
        <f aca="false">B81+C81+D81</f>
        <v>36228</v>
      </c>
      <c r="F81" s="6" t="n">
        <f aca="false">E81/$J$1</f>
        <v>0.048304</v>
      </c>
      <c r="G81" s="5" t="n">
        <f aca="false">G80+E81</f>
        <v>1491084</v>
      </c>
    </row>
    <row r="82" customFormat="false" ht="15" hidden="false" customHeight="false" outlineLevel="0" collapsed="false">
      <c r="A82" s="4" t="s">
        <v>88</v>
      </c>
      <c r="B82" s="5" t="n">
        <v>1048</v>
      </c>
      <c r="C82" s="5" t="n">
        <v>1968</v>
      </c>
      <c r="D82" s="5" t="n">
        <v>36438</v>
      </c>
      <c r="E82" s="5" t="n">
        <f aca="false">B82+C82+D82</f>
        <v>39454</v>
      </c>
      <c r="F82" s="6" t="n">
        <f aca="false">E82/$J$1</f>
        <v>0.0526053333333333</v>
      </c>
      <c r="G82" s="5" t="n">
        <f aca="false">G81+E82</f>
        <v>1530538</v>
      </c>
    </row>
    <row r="83" customFormat="false" ht="15" hidden="false" customHeight="false" outlineLevel="0" collapsed="false">
      <c r="A83" s="4" t="s">
        <v>89</v>
      </c>
      <c r="B83" s="5" t="n">
        <v>-400</v>
      </c>
      <c r="C83" s="5" t="n">
        <v>1026</v>
      </c>
      <c r="D83" s="5" t="n">
        <v>-4655</v>
      </c>
      <c r="E83" s="5" t="n">
        <f aca="false">B83+C83+D83</f>
        <v>-4029</v>
      </c>
      <c r="F83" s="6" t="n">
        <f aca="false">E83/$J$1</f>
        <v>-0.005372</v>
      </c>
      <c r="G83" s="5" t="n">
        <f aca="false">G82+E83</f>
        <v>1526509</v>
      </c>
    </row>
    <row r="84" customFormat="false" ht="15" hidden="false" customHeight="false" outlineLevel="0" collapsed="false">
      <c r="A84" s="4" t="s">
        <v>90</v>
      </c>
      <c r="B84" s="5" t="n">
        <v>18185</v>
      </c>
      <c r="C84" s="5" t="n">
        <v>12368</v>
      </c>
      <c r="D84" s="5" t="n">
        <v>18472</v>
      </c>
      <c r="E84" s="5" t="n">
        <f aca="false">B84+C84+D84</f>
        <v>49025</v>
      </c>
      <c r="F84" s="6" t="n">
        <f aca="false">E84/$J$1</f>
        <v>0.0653666666666667</v>
      </c>
      <c r="G84" s="5" t="n">
        <f aca="false">G83+E84</f>
        <v>1575534</v>
      </c>
    </row>
    <row r="85" customFormat="false" ht="15" hidden="false" customHeight="false" outlineLevel="0" collapsed="false">
      <c r="A85" s="4" t="s">
        <v>91</v>
      </c>
      <c r="B85" s="5" t="n">
        <v>11483</v>
      </c>
      <c r="C85" s="5" t="n">
        <v>13359</v>
      </c>
      <c r="D85" s="5" t="n">
        <v>24347</v>
      </c>
      <c r="E85" s="5" t="n">
        <f aca="false">B85+C85+D85</f>
        <v>49189</v>
      </c>
      <c r="F85" s="6" t="n">
        <f aca="false">E85/$J$1</f>
        <v>0.0655853333333333</v>
      </c>
      <c r="G85" s="5" t="n">
        <f aca="false">G84+E85</f>
        <v>1624723</v>
      </c>
    </row>
    <row r="86" customFormat="false" ht="15" hidden="false" customHeight="false" outlineLevel="0" collapsed="false">
      <c r="A86" s="4" t="s">
        <v>92</v>
      </c>
      <c r="B86" s="5" t="n">
        <v>653</v>
      </c>
      <c r="C86" s="5" t="n">
        <v>16051</v>
      </c>
      <c r="D86" s="5" t="n">
        <v>-43316</v>
      </c>
      <c r="E86" s="5" t="n">
        <f aca="false">B86+C86+D86</f>
        <v>-26612</v>
      </c>
      <c r="F86" s="6" t="n">
        <f aca="false">E86/$J$1</f>
        <v>-0.0354826666666667</v>
      </c>
      <c r="G86" s="5" t="n">
        <f aca="false">G85+E86</f>
        <v>1598111</v>
      </c>
    </row>
    <row r="87" customFormat="false" ht="15" hidden="false" customHeight="false" outlineLevel="0" collapsed="false">
      <c r="A87" s="4" t="s">
        <v>93</v>
      </c>
      <c r="B87" s="5" t="n">
        <v>38065</v>
      </c>
      <c r="C87" s="5" t="n">
        <v>55272</v>
      </c>
      <c r="D87" s="5" t="n">
        <v>1559</v>
      </c>
      <c r="E87" s="5" t="n">
        <f aca="false">B87+C87+D87</f>
        <v>94896</v>
      </c>
      <c r="F87" s="6" t="n">
        <f aca="false">E87/$J$1</f>
        <v>0.126528</v>
      </c>
      <c r="G87" s="5" t="n">
        <f aca="false">G86+E87</f>
        <v>1693007</v>
      </c>
    </row>
    <row r="88" customFormat="false" ht="15" hidden="false" customHeight="false" outlineLevel="0" collapsed="false">
      <c r="A88" s="4" t="s">
        <v>94</v>
      </c>
      <c r="B88" s="5" t="n">
        <v>-13113</v>
      </c>
      <c r="C88" s="5" t="n">
        <v>49804</v>
      </c>
      <c r="D88" s="5" t="n">
        <v>64137</v>
      </c>
      <c r="E88" s="5" t="n">
        <f aca="false">B88+C88+D88</f>
        <v>100828</v>
      </c>
      <c r="F88" s="6" t="n">
        <f aca="false">E88/$J$1</f>
        <v>0.134437333333333</v>
      </c>
      <c r="G88" s="5" t="n">
        <f aca="false">G87+E88</f>
        <v>1793835</v>
      </c>
    </row>
    <row r="89" customFormat="false" ht="15" hidden="false" customHeight="false" outlineLevel="0" collapsed="false">
      <c r="A89" s="4" t="s">
        <v>95</v>
      </c>
      <c r="B89" s="5" t="n">
        <v>16294</v>
      </c>
      <c r="C89" s="5" t="n">
        <v>32501</v>
      </c>
      <c r="D89" s="5" t="n">
        <v>35240</v>
      </c>
      <c r="E89" s="5" t="n">
        <f aca="false">B89+C89+D89</f>
        <v>84035</v>
      </c>
      <c r="F89" s="6" t="n">
        <f aca="false">E89/$J$1</f>
        <v>0.112046666666667</v>
      </c>
      <c r="G89" s="5" t="n">
        <f aca="false">G88+E89</f>
        <v>1877870</v>
      </c>
    </row>
    <row r="90" customFormat="false" ht="15" hidden="false" customHeight="false" outlineLevel="0" collapsed="false">
      <c r="A90" s="4" t="s">
        <v>96</v>
      </c>
      <c r="B90" s="5" t="n">
        <v>75858</v>
      </c>
      <c r="C90" s="5" t="n">
        <v>34323</v>
      </c>
      <c r="D90" s="5" t="n">
        <v>777</v>
      </c>
      <c r="E90" s="5" t="n">
        <f aca="false">B90+C90+D90</f>
        <v>110958</v>
      </c>
      <c r="F90" s="6" t="n">
        <f aca="false">E90/$J$1</f>
        <v>0.147944</v>
      </c>
      <c r="G90" s="5" t="n">
        <f aca="false">G89+E90</f>
        <v>1988828</v>
      </c>
    </row>
    <row r="91" customFormat="false" ht="15" hidden="false" customHeight="false" outlineLevel="0" collapsed="false">
      <c r="A91" s="4" t="s">
        <v>97</v>
      </c>
      <c r="B91" s="5" t="n">
        <v>-5567</v>
      </c>
      <c r="C91" s="5" t="n">
        <v>40934</v>
      </c>
      <c r="D91" s="5" t="n">
        <v>0</v>
      </c>
      <c r="E91" s="5" t="n">
        <f aca="false">B91+C91+D91</f>
        <v>35367</v>
      </c>
      <c r="F91" s="6" t="n">
        <f aca="false">E91/$J$1</f>
        <v>0.047156</v>
      </c>
      <c r="G91" s="5" t="n">
        <f aca="false">G90+E91</f>
        <v>2024195</v>
      </c>
    </row>
    <row r="92" customFormat="false" ht="15" hidden="false" customHeight="false" outlineLevel="0" collapsed="false">
      <c r="A92" s="4" t="s">
        <v>98</v>
      </c>
      <c r="B92" s="5" t="n">
        <v>-25032</v>
      </c>
      <c r="C92" s="5" t="n">
        <v>2348</v>
      </c>
      <c r="D92" s="5" t="n">
        <v>38542</v>
      </c>
      <c r="E92" s="5" t="n">
        <f aca="false">B92+C92+D92</f>
        <v>15858</v>
      </c>
      <c r="F92" s="6" t="n">
        <f aca="false">E92/$J$1</f>
        <v>0.021144</v>
      </c>
      <c r="G92" s="5" t="n">
        <f aca="false">G91+E92</f>
        <v>2040053</v>
      </c>
    </row>
    <row r="93" customFormat="false" ht="15" hidden="false" customHeight="false" outlineLevel="0" collapsed="false">
      <c r="A93" s="4" t="s">
        <v>99</v>
      </c>
      <c r="B93" s="5" t="n">
        <v>41395</v>
      </c>
      <c r="C93" s="5" t="n">
        <v>181895</v>
      </c>
      <c r="D93" s="5" t="n">
        <v>18115</v>
      </c>
      <c r="E93" s="5" t="n">
        <f aca="false">B93+C93+D93</f>
        <v>241405</v>
      </c>
      <c r="F93" s="6" t="n">
        <f aca="false">E93/$J$1</f>
        <v>0.321873333333333</v>
      </c>
      <c r="G93" s="5" t="n">
        <f aca="false">G92+E93</f>
        <v>2281458</v>
      </c>
    </row>
    <row r="94" customFormat="false" ht="15" hidden="false" customHeight="false" outlineLevel="0" collapsed="false">
      <c r="A94" s="4" t="s">
        <v>100</v>
      </c>
      <c r="B94" s="5" t="n">
        <v>121354</v>
      </c>
      <c r="C94" s="5" t="n">
        <v>56229</v>
      </c>
      <c r="D94" s="5" t="n">
        <v>34834</v>
      </c>
      <c r="E94" s="5" t="n">
        <f aca="false">B94+C94+D94</f>
        <v>212417</v>
      </c>
      <c r="F94" s="6" t="n">
        <f aca="false">E94/$J$1</f>
        <v>0.283222666666667</v>
      </c>
      <c r="G94" s="5" t="n">
        <f aca="false">G93+E94</f>
        <v>2493875</v>
      </c>
    </row>
    <row r="95" customFormat="false" ht="15" hidden="false" customHeight="false" outlineLevel="0" collapsed="false">
      <c r="A95" s="4" t="s">
        <v>101</v>
      </c>
      <c r="B95" s="5" t="n">
        <v>18750</v>
      </c>
      <c r="C95" s="5" t="n">
        <v>32316</v>
      </c>
      <c r="D95" s="5" t="n">
        <v>36232</v>
      </c>
      <c r="E95" s="5" t="n">
        <f aca="false">B95+C95+D95</f>
        <v>87298</v>
      </c>
      <c r="F95" s="6" t="n">
        <f aca="false">E95/$J$1</f>
        <v>0.116397333333333</v>
      </c>
      <c r="G95" s="5" t="n">
        <f aca="false">G94+E95</f>
        <v>2581173</v>
      </c>
    </row>
    <row r="96" customFormat="false" ht="15" hidden="false" customHeight="false" outlineLevel="0" collapsed="false">
      <c r="A96" s="4" t="s">
        <v>102</v>
      </c>
      <c r="B96" s="5" t="n">
        <v>66552</v>
      </c>
      <c r="C96" s="5" t="n">
        <v>91019</v>
      </c>
      <c r="D96" s="5" t="n">
        <v>23693</v>
      </c>
      <c r="E96" s="5" t="n">
        <f aca="false">B96+C96+D96</f>
        <v>181264</v>
      </c>
      <c r="F96" s="6" t="n">
        <f aca="false">E96/$J$1</f>
        <v>0.241685333333333</v>
      </c>
      <c r="G96" s="5" t="n">
        <f aca="false">G95+E96</f>
        <v>2762437</v>
      </c>
    </row>
    <row r="97" customFormat="false" ht="15" hidden="false" customHeight="false" outlineLevel="0" collapsed="false">
      <c r="A97" s="4" t="s">
        <v>103</v>
      </c>
      <c r="B97" s="5" t="n">
        <v>26585</v>
      </c>
      <c r="C97" s="5" t="n">
        <v>47366</v>
      </c>
      <c r="D97" s="5" t="n">
        <v>20021</v>
      </c>
      <c r="E97" s="5" t="n">
        <f aca="false">B97+C97+D97</f>
        <v>93972</v>
      </c>
      <c r="F97" s="6" t="n">
        <f aca="false">E97/$J$1</f>
        <v>0.125296</v>
      </c>
      <c r="G97" s="5" t="n">
        <f aca="false">G96+E97</f>
        <v>2856409</v>
      </c>
    </row>
    <row r="98" customFormat="false" ht="15" hidden="false" customHeight="false" outlineLevel="0" collapsed="false">
      <c r="A98" s="4" t="s">
        <v>104</v>
      </c>
      <c r="B98" s="5" t="n">
        <v>33098</v>
      </c>
      <c r="C98" s="5" t="n">
        <v>-4517</v>
      </c>
      <c r="D98" s="5" t="n">
        <v>0</v>
      </c>
      <c r="E98" s="5" t="n">
        <f aca="false">B98+C98+D98</f>
        <v>28581</v>
      </c>
      <c r="F98" s="6" t="n">
        <f aca="false">E98/$J$1</f>
        <v>0.038108</v>
      </c>
      <c r="G98" s="5" t="n">
        <f aca="false">G97+E98</f>
        <v>2884990</v>
      </c>
    </row>
    <row r="99" customFormat="false" ht="15" hidden="false" customHeight="false" outlineLevel="0" collapsed="false">
      <c r="A99" s="4" t="s">
        <v>105</v>
      </c>
      <c r="B99" s="5" t="n">
        <v>87828</v>
      </c>
      <c r="C99" s="5" t="n">
        <v>4329</v>
      </c>
      <c r="D99" s="5" t="n">
        <v>0</v>
      </c>
      <c r="E99" s="5" t="n">
        <f aca="false">B99+C99+D99</f>
        <v>92157</v>
      </c>
      <c r="F99" s="6" t="n">
        <f aca="false">E99/$J$1</f>
        <v>0.122876</v>
      </c>
      <c r="G99" s="5" t="n">
        <f aca="false">G98+E99</f>
        <v>2977147</v>
      </c>
    </row>
    <row r="100" customFormat="false" ht="15" hidden="false" customHeight="false" outlineLevel="0" collapsed="false">
      <c r="A100" s="4" t="s">
        <v>106</v>
      </c>
      <c r="B100" s="5" t="n">
        <v>21570</v>
      </c>
      <c r="C100" s="5" t="n">
        <v>21609</v>
      </c>
      <c r="D100" s="5" t="n">
        <v>-65970</v>
      </c>
      <c r="E100" s="5" t="n">
        <f aca="false">B100+C100+D100</f>
        <v>-22791</v>
      </c>
      <c r="F100" s="6" t="n">
        <f aca="false">E100/$J$1</f>
        <v>-0.030388</v>
      </c>
      <c r="G100" s="5" t="n">
        <f aca="false">G99+E100</f>
        <v>2954356</v>
      </c>
    </row>
    <row r="101" customFormat="false" ht="15" hidden="false" customHeight="false" outlineLevel="0" collapsed="false">
      <c r="A101" s="4" t="s">
        <v>107</v>
      </c>
      <c r="B101" s="5" t="n">
        <v>102322</v>
      </c>
      <c r="C101" s="5" t="n">
        <v>12343</v>
      </c>
      <c r="D101" s="5" t="n">
        <v>99803</v>
      </c>
      <c r="E101" s="5" t="n">
        <f aca="false">B101+C101+D101</f>
        <v>214468</v>
      </c>
      <c r="F101" s="6" t="n">
        <f aca="false">E101/$J$1</f>
        <v>0.285957333333333</v>
      </c>
      <c r="G101" s="5" t="n">
        <f aca="false">G100+E101</f>
        <v>3168824</v>
      </c>
    </row>
    <row r="102" customFormat="false" ht="15" hidden="false" customHeight="false" outlineLevel="0" collapsed="false">
      <c r="A102" s="4" t="s">
        <v>108</v>
      </c>
      <c r="B102" s="5" t="n">
        <v>71730</v>
      </c>
      <c r="C102" s="5" t="n">
        <v>26345</v>
      </c>
      <c r="D102" s="5" t="n">
        <v>63554</v>
      </c>
      <c r="E102" s="5" t="n">
        <f aca="false">B102+C102+D102</f>
        <v>161629</v>
      </c>
      <c r="F102" s="6" t="n">
        <f aca="false">E102/$J$1</f>
        <v>0.215505333333333</v>
      </c>
      <c r="G102" s="5" t="n">
        <f aca="false">G101+E102</f>
        <v>3330453</v>
      </c>
    </row>
    <row r="103" customFormat="false" ht="15" hidden="false" customHeight="false" outlineLevel="0" collapsed="false">
      <c r="A103" s="4" t="s">
        <v>109</v>
      </c>
      <c r="B103" s="5" t="n">
        <v>3516</v>
      </c>
      <c r="C103" s="5" t="n">
        <v>48204</v>
      </c>
      <c r="D103" s="5" t="n">
        <v>0</v>
      </c>
      <c r="E103" s="5" t="n">
        <f aca="false">B103+C103+D103</f>
        <v>51720</v>
      </c>
      <c r="F103" s="6" t="n">
        <f aca="false">E103/$J$1</f>
        <v>0.06896</v>
      </c>
      <c r="G103" s="5" t="n">
        <f aca="false">G102+E103</f>
        <v>3382173</v>
      </c>
    </row>
    <row r="104" customFormat="false" ht="15" hidden="false" customHeight="false" outlineLevel="0" collapsed="false">
      <c r="A104" s="4" t="s">
        <v>110</v>
      </c>
      <c r="B104" s="5" t="n">
        <v>100827</v>
      </c>
      <c r="C104" s="5" t="n">
        <v>96819</v>
      </c>
      <c r="D104" s="5" t="n">
        <v>268104</v>
      </c>
      <c r="E104" s="5" t="n">
        <f aca="false">B104+C104+D104</f>
        <v>465750</v>
      </c>
      <c r="F104" s="6" t="n">
        <f aca="false">E104/$J$1</f>
        <v>0.621</v>
      </c>
      <c r="G104" s="5" t="n">
        <f aca="false">G103+E104</f>
        <v>3847923</v>
      </c>
    </row>
    <row r="105" customFormat="false" ht="15" hidden="false" customHeight="false" outlineLevel="0" collapsed="false">
      <c r="A105" s="4" t="s">
        <v>111</v>
      </c>
      <c r="B105" s="5" t="n">
        <v>29647</v>
      </c>
      <c r="C105" s="5" t="n">
        <v>7184</v>
      </c>
      <c r="D105" s="5" t="n">
        <v>78379</v>
      </c>
      <c r="E105" s="5" t="n">
        <f aca="false">B105+C105+D105</f>
        <v>115210</v>
      </c>
      <c r="F105" s="6" t="n">
        <f aca="false">E105/$J$1</f>
        <v>0.153613333333333</v>
      </c>
      <c r="G105" s="5" t="n">
        <f aca="false">G104+E105</f>
        <v>3963133</v>
      </c>
    </row>
    <row r="106" customFormat="false" ht="15" hidden="false" customHeight="false" outlineLevel="0" collapsed="false">
      <c r="A106" s="4" t="s">
        <v>112</v>
      </c>
      <c r="B106" s="5" t="n">
        <v>30222</v>
      </c>
      <c r="C106" s="5" t="n">
        <v>66285</v>
      </c>
      <c r="D106" s="5" t="n">
        <v>10869</v>
      </c>
      <c r="E106" s="5" t="n">
        <f aca="false">B106+C106+D106</f>
        <v>107376</v>
      </c>
      <c r="F106" s="6" t="n">
        <f aca="false">E106/$J$1</f>
        <v>0.143168</v>
      </c>
      <c r="G106" s="5" t="n">
        <f aca="false">G105+E106</f>
        <v>4070509</v>
      </c>
    </row>
    <row r="107" customFormat="false" ht="15" hidden="false" customHeight="false" outlineLevel="0" collapsed="false">
      <c r="A107" s="4" t="s">
        <v>113</v>
      </c>
      <c r="B107" s="5" t="n">
        <v>21506</v>
      </c>
      <c r="C107" s="5" t="n">
        <v>37016</v>
      </c>
      <c r="D107" s="5" t="n">
        <v>-10505</v>
      </c>
      <c r="E107" s="5" t="n">
        <f aca="false">B107+C107+D107</f>
        <v>48017</v>
      </c>
      <c r="F107" s="6" t="n">
        <f aca="false">E107/$J$1</f>
        <v>0.0640226666666667</v>
      </c>
      <c r="G107" s="5" t="n">
        <f aca="false">G106+E107</f>
        <v>4118526</v>
      </c>
    </row>
    <row r="108" customFormat="false" ht="15" hidden="false" customHeight="false" outlineLevel="0" collapsed="false">
      <c r="A108" s="4" t="s">
        <v>114</v>
      </c>
      <c r="B108" s="5" t="n">
        <v>-27788</v>
      </c>
      <c r="C108" s="5" t="n">
        <v>19563</v>
      </c>
      <c r="D108" s="5" t="n">
        <v>0</v>
      </c>
      <c r="E108" s="5" t="n">
        <f aca="false">B108+C108+D108</f>
        <v>-8225</v>
      </c>
      <c r="F108" s="6" t="n">
        <f aca="false">E108/$J$1</f>
        <v>-0.0109666666666667</v>
      </c>
      <c r="G108" s="5" t="n">
        <f aca="false">G107+E108</f>
        <v>4110301</v>
      </c>
    </row>
    <row r="109" customFormat="false" ht="15" hidden="false" customHeight="false" outlineLevel="0" collapsed="false">
      <c r="A109" s="4" t="s">
        <v>115</v>
      </c>
      <c r="B109" s="5" t="n">
        <v>12961</v>
      </c>
      <c r="C109" s="5" t="n">
        <v>32312</v>
      </c>
      <c r="D109" s="5" t="n">
        <v>3495</v>
      </c>
      <c r="E109" s="5" t="n">
        <f aca="false">B109+C109+D109</f>
        <v>48768</v>
      </c>
      <c r="F109" s="6" t="n">
        <f aca="false">E109/$J$1</f>
        <v>0.065024</v>
      </c>
      <c r="G109" s="5" t="n">
        <f aca="false">G108+E109</f>
        <v>4159069</v>
      </c>
    </row>
    <row r="110" customFormat="false" ht="15" hidden="false" customHeight="false" outlineLevel="0" collapsed="false">
      <c r="A110" s="4" t="s">
        <v>116</v>
      </c>
      <c r="B110" s="5" t="n">
        <v>503</v>
      </c>
      <c r="C110" s="5" t="n">
        <v>14679</v>
      </c>
      <c r="D110" s="5" t="n">
        <v>30502</v>
      </c>
      <c r="E110" s="5" t="n">
        <f aca="false">B110+C110+D110</f>
        <v>45684</v>
      </c>
      <c r="F110" s="6" t="n">
        <f aca="false">E110/$J$1</f>
        <v>0.060912</v>
      </c>
      <c r="G110" s="5" t="n">
        <f aca="false">G109+E110</f>
        <v>4204753</v>
      </c>
    </row>
    <row r="111" customFormat="false" ht="15" hidden="false" customHeight="false" outlineLevel="0" collapsed="false">
      <c r="A111" s="4" t="s">
        <v>117</v>
      </c>
      <c r="B111" s="5" t="n">
        <v>6154</v>
      </c>
      <c r="C111" s="5" t="n">
        <v>20711</v>
      </c>
      <c r="D111" s="5" t="n">
        <v>10364</v>
      </c>
      <c r="E111" s="5" t="n">
        <f aca="false">B111+C111+D111</f>
        <v>37229</v>
      </c>
      <c r="F111" s="6" t="n">
        <f aca="false">E111/$J$1</f>
        <v>0.0496386666666667</v>
      </c>
      <c r="G111" s="5" t="n">
        <f aca="false">G110+E111</f>
        <v>4241982</v>
      </c>
    </row>
    <row r="112" customFormat="false" ht="15" hidden="false" customHeight="false" outlineLevel="0" collapsed="false">
      <c r="A112" s="4" t="s">
        <v>118</v>
      </c>
      <c r="B112" s="5" t="n">
        <v>35476</v>
      </c>
      <c r="C112" s="5" t="n">
        <v>20954</v>
      </c>
      <c r="D112" s="5" t="n">
        <v>7300</v>
      </c>
      <c r="E112" s="5" t="n">
        <f aca="false">B112+C112+D112</f>
        <v>63730</v>
      </c>
      <c r="F112" s="6" t="n">
        <f aca="false">E112/$J$1</f>
        <v>0.0849733333333333</v>
      </c>
      <c r="G112" s="5" t="n">
        <f aca="false">G111+E112</f>
        <v>4305712</v>
      </c>
    </row>
    <row r="113" customFormat="false" ht="15" hidden="false" customHeight="false" outlineLevel="0" collapsed="false">
      <c r="A113" s="4" t="s">
        <v>119</v>
      </c>
      <c r="B113" s="5" t="n">
        <v>17718</v>
      </c>
      <c r="C113" s="5" t="n">
        <v>20778</v>
      </c>
      <c r="D113" s="5" t="n">
        <v>-8088</v>
      </c>
      <c r="E113" s="5" t="n">
        <f aca="false">B113+C113+D113</f>
        <v>30408</v>
      </c>
      <c r="F113" s="6" t="n">
        <f aca="false">E113/$J$1</f>
        <v>0.040544</v>
      </c>
      <c r="G113" s="5" t="n">
        <f aca="false">G112+E113</f>
        <v>4336120</v>
      </c>
    </row>
    <row r="114" customFormat="false" ht="15" hidden="false" customHeight="false" outlineLevel="0" collapsed="false">
      <c r="A114" s="4" t="s">
        <v>120</v>
      </c>
      <c r="B114" s="5" t="n">
        <v>148542</v>
      </c>
      <c r="C114" s="5" t="n">
        <v>4707</v>
      </c>
      <c r="D114" s="5" t="n">
        <v>147062</v>
      </c>
      <c r="E114" s="5" t="n">
        <f aca="false">B114+C114+D114</f>
        <v>300311</v>
      </c>
      <c r="F114" s="6" t="n">
        <f aca="false">E114/$J$1</f>
        <v>0.400414666666667</v>
      </c>
      <c r="G114" s="5" t="n">
        <f aca="false">G113+E114</f>
        <v>4636431</v>
      </c>
    </row>
    <row r="115" customFormat="false" ht="15" hidden="false" customHeight="false" outlineLevel="0" collapsed="false">
      <c r="A115" s="4" t="s">
        <v>121</v>
      </c>
      <c r="B115" s="5" t="n">
        <v>83591</v>
      </c>
      <c r="C115" s="5" t="n">
        <v>18773</v>
      </c>
      <c r="D115" s="5" t="n">
        <v>267694</v>
      </c>
      <c r="E115" s="5" t="n">
        <f aca="false">B115+C115+D115</f>
        <v>370058</v>
      </c>
      <c r="F115" s="6" t="n">
        <f aca="false">E115/$J$1</f>
        <v>0.493410666666667</v>
      </c>
      <c r="G115" s="5" t="n">
        <f aca="false">G114+E115</f>
        <v>5006489</v>
      </c>
    </row>
    <row r="116" customFormat="false" ht="15" hidden="false" customHeight="false" outlineLevel="0" collapsed="false">
      <c r="A116" s="4" t="s">
        <v>122</v>
      </c>
      <c r="B116" s="5" t="n">
        <v>83560</v>
      </c>
      <c r="C116" s="5" t="n">
        <v>47129</v>
      </c>
      <c r="D116" s="5" t="n">
        <v>-33620</v>
      </c>
      <c r="E116" s="5" t="n">
        <f aca="false">B116+C116+D116</f>
        <v>97069</v>
      </c>
      <c r="F116" s="6" t="n">
        <f aca="false">E116/$J$1</f>
        <v>0.129425333333333</v>
      </c>
      <c r="G116" s="5" t="n">
        <f aca="false">G115+E116</f>
        <v>5103558</v>
      </c>
    </row>
    <row r="117" customFormat="false" ht="15" hidden="false" customHeight="false" outlineLevel="0" collapsed="false">
      <c r="A117" s="4" t="s">
        <v>123</v>
      </c>
      <c r="B117" s="5" t="n">
        <v>-7098</v>
      </c>
      <c r="C117" s="5" t="n">
        <v>-5262</v>
      </c>
      <c r="D117" s="5" t="n">
        <v>127489</v>
      </c>
      <c r="E117" s="5" t="n">
        <f aca="false">B117+C117+D117</f>
        <v>115129</v>
      </c>
      <c r="F117" s="6" t="n">
        <f aca="false">E117/$J$1</f>
        <v>0.153505333333333</v>
      </c>
      <c r="G117" s="5" t="n">
        <f aca="false">G116+E117</f>
        <v>5218687</v>
      </c>
    </row>
    <row r="118" customFormat="false" ht="15" hidden="false" customHeight="false" outlineLevel="0" collapsed="false">
      <c r="A118" s="4" t="s">
        <v>124</v>
      </c>
      <c r="B118" s="5" t="n">
        <v>24509</v>
      </c>
      <c r="C118" s="5" t="n">
        <v>-45522</v>
      </c>
      <c r="D118" s="5" t="n">
        <v>59875</v>
      </c>
      <c r="E118" s="5" t="n">
        <f aca="false">B118+C118+D118</f>
        <v>38862</v>
      </c>
      <c r="F118" s="6" t="n">
        <f aca="false">E118/$J$1</f>
        <v>0.051816</v>
      </c>
      <c r="G118" s="5" t="n">
        <f aca="false">G117+E118</f>
        <v>5257549</v>
      </c>
    </row>
    <row r="119" customFormat="false" ht="15" hidden="false" customHeight="false" outlineLevel="0" collapsed="false">
      <c r="A119" s="4" t="s">
        <v>125</v>
      </c>
      <c r="B119" s="5" t="n">
        <v>24550</v>
      </c>
      <c r="C119" s="5" t="n">
        <v>-4953</v>
      </c>
      <c r="D119" s="5" t="n">
        <v>0</v>
      </c>
      <c r="E119" s="5" t="n">
        <f aca="false">B119+C119+D119</f>
        <v>19597</v>
      </c>
      <c r="F119" s="6" t="n">
        <f aca="false">E119/$J$1</f>
        <v>0.0261293333333333</v>
      </c>
      <c r="G119" s="5" t="n">
        <f aca="false">G118+E119</f>
        <v>5277146</v>
      </c>
    </row>
    <row r="120" customFormat="false" ht="15" hidden="false" customHeight="false" outlineLevel="0" collapsed="false">
      <c r="A120" s="4" t="s">
        <v>126</v>
      </c>
      <c r="B120" s="5" t="n">
        <v>61389</v>
      </c>
      <c r="C120" s="5" t="n">
        <v>41750</v>
      </c>
      <c r="D120" s="5" t="n">
        <v>0</v>
      </c>
      <c r="E120" s="5" t="n">
        <f aca="false">B120+C120+D120</f>
        <v>103139</v>
      </c>
      <c r="F120" s="6" t="n">
        <f aca="false">E120/$J$1</f>
        <v>0.137518666666667</v>
      </c>
      <c r="G120" s="5" t="n">
        <f aca="false">G119+E120</f>
        <v>5380285</v>
      </c>
    </row>
    <row r="121" customFormat="false" ht="15" hidden="false" customHeight="false" outlineLevel="0" collapsed="false">
      <c r="A121" s="4" t="s">
        <v>127</v>
      </c>
      <c r="B121" s="5" t="n">
        <v>3658</v>
      </c>
      <c r="C121" s="5" t="n">
        <v>30086</v>
      </c>
      <c r="D121" s="5" t="n">
        <v>11830</v>
      </c>
      <c r="E121" s="5" t="n">
        <f aca="false">B121+C121+D121</f>
        <v>45574</v>
      </c>
      <c r="F121" s="6" t="n">
        <f aca="false">E121/$J$1</f>
        <v>0.0607653333333333</v>
      </c>
      <c r="G121" s="5" t="n">
        <f aca="false">G120+E121</f>
        <v>5425859</v>
      </c>
    </row>
    <row r="122" customFormat="false" ht="15" hidden="false" customHeight="false" outlineLevel="0" collapsed="false">
      <c r="A122" s="4" t="s">
        <v>128</v>
      </c>
      <c r="B122" s="5" t="n">
        <v>23238</v>
      </c>
      <c r="C122" s="5" t="n">
        <v>27241</v>
      </c>
      <c r="D122" s="5" t="n">
        <v>0</v>
      </c>
      <c r="E122" s="5" t="n">
        <f aca="false">B122+C122+D122</f>
        <v>50479</v>
      </c>
      <c r="F122" s="6" t="n">
        <f aca="false">E122/$J$1</f>
        <v>0.0673053333333333</v>
      </c>
      <c r="G122" s="5" t="n">
        <f aca="false">G121+E122</f>
        <v>5476338</v>
      </c>
    </row>
    <row r="123" customFormat="false" ht="15" hidden="false" customHeight="false" outlineLevel="0" collapsed="false">
      <c r="A123" s="4" t="s">
        <v>129</v>
      </c>
      <c r="B123" s="5" t="n">
        <f aca="false">SUM(B2:B122)</f>
        <v>2072097</v>
      </c>
      <c r="C123" s="5" t="n">
        <f aca="false">SUM(C2:C122)</f>
        <v>1225209</v>
      </c>
      <c r="D123" s="5" t="n">
        <f aca="false">SUM(D2:D122)</f>
        <v>2179032</v>
      </c>
      <c r="E123" s="5" t="n">
        <f aca="false">SUM(E2:E122)</f>
        <v>5476338</v>
      </c>
    </row>
    <row r="125" customFormat="false" ht="15" hidden="false" customHeight="false" outlineLevel="0" collapsed="false">
      <c r="A125" s="7" t="s">
        <v>130</v>
      </c>
    </row>
    <row r="126" customFormat="false" ht="15" hidden="false" customHeight="false" outlineLevel="0" collapsed="false">
      <c r="A126" s="7" t="s">
        <v>131</v>
      </c>
    </row>
    <row r="127" customFormat="false" ht="15" hidden="false" customHeight="false" outlineLevel="0" collapsed="false">
      <c r="A127" s="7" t="s">
        <v>132</v>
      </c>
    </row>
    <row r="128" customFormat="false" ht="15" hidden="false" customHeight="false" outlineLevel="0" collapsed="false">
      <c r="A128" s="7" t="s">
        <v>133</v>
      </c>
    </row>
  </sheetData>
  <conditionalFormatting sqref="E2:E122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5"/>
  </cols>
  <sheetData>
    <row r="1" customFormat="false" ht="15" hidden="false" customHeight="false" outlineLevel="0" collapsed="false">
      <c r="A1" s="8" t="s">
        <v>134</v>
      </c>
      <c r="B1" s="8" t="s">
        <v>135</v>
      </c>
      <c r="C1" s="8" t="s">
        <v>136</v>
      </c>
      <c r="D1" s="8" t="s">
        <v>137</v>
      </c>
      <c r="E1" s="8" t="s">
        <v>4</v>
      </c>
      <c r="F1" s="8" t="s">
        <v>5</v>
      </c>
    </row>
    <row r="2" customFormat="false" ht="15" hidden="false" customHeight="false" outlineLevel="0" collapsed="false">
      <c r="A2" s="4" t="s">
        <v>138</v>
      </c>
      <c r="B2" s="5" t="n">
        <v>-11059</v>
      </c>
      <c r="C2" s="5" t="n">
        <v>0</v>
      </c>
      <c r="D2" s="5" t="n">
        <v>4761</v>
      </c>
      <c r="E2" s="5" t="n">
        <f aca="false">B2+C2+D2</f>
        <v>-6298</v>
      </c>
      <c r="F2" s="9" t="n">
        <f aca="false">E2/Monthly!$J$1</f>
        <v>-0.00839733333333333</v>
      </c>
    </row>
    <row r="3" customFormat="false" ht="15" hidden="false" customHeight="false" outlineLevel="0" collapsed="false">
      <c r="A3" s="4" t="s">
        <v>139</v>
      </c>
      <c r="B3" s="5" t="n">
        <v>-26588</v>
      </c>
      <c r="C3" s="5" t="n">
        <v>0</v>
      </c>
      <c r="D3" s="5" t="n">
        <v>35286</v>
      </c>
      <c r="E3" s="5" t="n">
        <f aca="false">B3+C3+D3</f>
        <v>8698</v>
      </c>
      <c r="F3" s="9" t="n">
        <f aca="false">E3/Monthly!$J$1</f>
        <v>0.0115973333333333</v>
      </c>
    </row>
    <row r="4" customFormat="false" ht="15" hidden="false" customHeight="false" outlineLevel="0" collapsed="false">
      <c r="A4" s="4" t="s">
        <v>140</v>
      </c>
      <c r="B4" s="5" t="n">
        <v>-7279</v>
      </c>
      <c r="C4" s="5" t="n">
        <v>0</v>
      </c>
      <c r="D4" s="5" t="n">
        <v>10984</v>
      </c>
      <c r="E4" s="5" t="n">
        <f aca="false">B4+C4+D4</f>
        <v>3705</v>
      </c>
      <c r="F4" s="9" t="n">
        <f aca="false">E4/Monthly!$J$1</f>
        <v>0.00494</v>
      </c>
    </row>
    <row r="5" customFormat="false" ht="15" hidden="false" customHeight="false" outlineLevel="0" collapsed="false">
      <c r="A5" s="4" t="s">
        <v>141</v>
      </c>
      <c r="B5" s="5" t="n">
        <v>35562</v>
      </c>
      <c r="C5" s="5" t="n">
        <v>0</v>
      </c>
      <c r="D5" s="5" t="n">
        <v>145315</v>
      </c>
      <c r="E5" s="5" t="n">
        <f aca="false">B5+C5+D5</f>
        <v>180877</v>
      </c>
      <c r="F5" s="9" t="n">
        <f aca="false">E5/Monthly!$J$1</f>
        <v>0.241169333333333</v>
      </c>
    </row>
    <row r="6" customFormat="false" ht="15" hidden="false" customHeight="false" outlineLevel="0" collapsed="false">
      <c r="A6" s="4" t="s">
        <v>142</v>
      </c>
      <c r="B6" s="5" t="n">
        <v>143376</v>
      </c>
      <c r="C6" s="5" t="n">
        <v>0</v>
      </c>
      <c r="D6" s="5" t="n">
        <v>103391</v>
      </c>
      <c r="E6" s="5" t="n">
        <f aca="false">B6+C6+D6</f>
        <v>246767</v>
      </c>
      <c r="F6" s="9" t="n">
        <f aca="false">E6/Monthly!$J$1</f>
        <v>0.329022666666667</v>
      </c>
    </row>
    <row r="7" customFormat="false" ht="15" hidden="false" customHeight="false" outlineLevel="0" collapsed="false">
      <c r="A7" s="4" t="s">
        <v>143</v>
      </c>
      <c r="B7" s="5" t="n">
        <v>240705</v>
      </c>
      <c r="C7" s="5" t="n">
        <v>0</v>
      </c>
      <c r="D7" s="5" t="n">
        <v>169098</v>
      </c>
      <c r="E7" s="5" t="n">
        <f aca="false">B7+C7+D7</f>
        <v>409803</v>
      </c>
      <c r="F7" s="9" t="n">
        <f aca="false">E7/Monthly!$J$1</f>
        <v>0.546404</v>
      </c>
    </row>
    <row r="8" customFormat="false" ht="15" hidden="false" customHeight="false" outlineLevel="0" collapsed="false">
      <c r="A8" s="4" t="s">
        <v>144</v>
      </c>
      <c r="B8" s="5" t="n">
        <v>306881</v>
      </c>
      <c r="C8" s="5" t="n">
        <v>0</v>
      </c>
      <c r="D8" s="5" t="n">
        <v>319175</v>
      </c>
      <c r="E8" s="5" t="n">
        <f aca="false">B8+C8+D8</f>
        <v>626056</v>
      </c>
      <c r="F8" s="9" t="n">
        <f aca="false">E8/Monthly!$J$1</f>
        <v>0.834741333333333</v>
      </c>
    </row>
    <row r="9" customFormat="false" ht="15" hidden="false" customHeight="false" outlineLevel="0" collapsed="false">
      <c r="A9" s="4" t="s">
        <v>145</v>
      </c>
      <c r="B9" s="5" t="n">
        <v>61080</v>
      </c>
      <c r="C9" s="5" t="n">
        <v>147716</v>
      </c>
      <c r="D9" s="5" t="n">
        <v>115432</v>
      </c>
      <c r="E9" s="5" t="n">
        <f aca="false">B9+C9+D9</f>
        <v>324228</v>
      </c>
      <c r="F9" s="9" t="n">
        <f aca="false">E9/Monthly!$J$1</f>
        <v>0.432304</v>
      </c>
    </row>
    <row r="10" customFormat="false" ht="15" hidden="false" customHeight="false" outlineLevel="0" collapsed="false">
      <c r="A10" s="4" t="s">
        <v>146</v>
      </c>
      <c r="B10" s="5" t="n">
        <v>478685</v>
      </c>
      <c r="C10" s="5" t="n">
        <v>540352</v>
      </c>
      <c r="D10" s="5" t="n">
        <v>141483</v>
      </c>
      <c r="E10" s="5" t="n">
        <f aca="false">B10+C10+D10</f>
        <v>1160520</v>
      </c>
      <c r="F10" s="9" t="n">
        <f aca="false">E10/Monthly!$J$1</f>
        <v>1.54736</v>
      </c>
    </row>
    <row r="11" customFormat="false" ht="15" hidden="false" customHeight="false" outlineLevel="0" collapsed="false">
      <c r="A11" s="4" t="s">
        <v>147</v>
      </c>
      <c r="B11" s="5" t="n">
        <v>387076</v>
      </c>
      <c r="C11" s="5" t="n">
        <v>402415</v>
      </c>
      <c r="D11" s="5" t="n">
        <v>561865</v>
      </c>
      <c r="E11" s="5" t="n">
        <f aca="false">B11+C11+D11</f>
        <v>1351356</v>
      </c>
      <c r="F11" s="9" t="n">
        <f aca="false">E11/Monthly!$J$1</f>
        <v>1.801808</v>
      </c>
    </row>
    <row r="12" customFormat="false" ht="15" hidden="false" customHeight="false" outlineLevel="0" collapsed="false">
      <c r="A12" s="4" t="s">
        <v>148</v>
      </c>
      <c r="B12" s="5" t="n">
        <v>463656</v>
      </c>
      <c r="C12" s="5" t="n">
        <v>134728</v>
      </c>
      <c r="D12" s="5" t="n">
        <v>572242</v>
      </c>
      <c r="E12" s="5" t="n">
        <f aca="false">B12+C12+D12</f>
        <v>1170626</v>
      </c>
      <c r="F12" s="9" t="n">
        <f aca="false">E12/Monthly!$J$1</f>
        <v>1.56083466666667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2026-10-26T06:00:49Z</dcterms:created>
  <dc:creator>openpyxl</dc:creator>
  <dc:description/>
  <dc:language>en-US</dc:language>
  <cp:lastModifiedBy/>
  <dcterms:modified xsi:type="dcterms:W3CDTF">2026-10-26T06:00:49Z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